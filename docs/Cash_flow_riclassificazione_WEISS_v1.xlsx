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ATURA" sheetId="1" state="visible" r:id="rId1"/>
    <sheet xmlns:r="http://schemas.openxmlformats.org/officeDocument/2006/relationships" name="CASH FLOW" sheetId="2" state="visible" r:id="rId2"/>
    <sheet xmlns:r="http://schemas.openxmlformats.org/officeDocument/2006/relationships" name="BUDGET" sheetId="3" state="visible" r:id="rId3"/>
    <sheet xmlns:r="http://schemas.openxmlformats.org/officeDocument/2006/relationships" name="SCOSTAMENTO" sheetId="4" state="visible" r:id="rId4"/>
    <sheet xmlns:r="http://schemas.openxmlformats.org/officeDocument/2006/relationships" name="PER CENTRO" sheetId="5" state="visible" r:id="rId5"/>
    <sheet xmlns:r="http://schemas.openxmlformats.org/officeDocument/2006/relationships" name="SINTESI" sheetId="6" state="visible" r:id="rId6"/>
  </sheets>
  <definedNames>
    <definedName name="_xlnm._FilterDatabase" localSheetId="0" hidden="1">'MAPPATURA'!$A$4:$L$173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[Red]-#,##0.00;&quot;-&quot;"/>
    <numFmt numFmtId="165" formatCode="0.0%;[Red]-0.0%;&quot;-&quot;"/>
    <numFmt numFmtId="166" formatCode="0.0"/>
  </numFmts>
  <fonts count="11">
    <font>
      <name val="Calibri"/>
      <family val="2"/>
      <color theme="1"/>
      <sz val="11"/>
      <scheme val="minor"/>
    </font>
    <font>
      <name val="Calibri"/>
      <b val="1"/>
      <color rgb="00111827"/>
      <sz val="15"/>
    </font>
    <font>
      <name val="Calibri"/>
      <i val="1"/>
      <color rgb="006B7280"/>
      <sz val="10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color rgb="009CA3AF"/>
      <sz val="10"/>
    </font>
    <font>
      <name val="Calibri"/>
      <b val="1"/>
      <color rgb="00111827"/>
      <sz val="11"/>
    </font>
    <font>
      <name val="Calibri"/>
      <b val="1"/>
      <color rgb="00374151"/>
      <sz val="10"/>
    </font>
    <font>
      <name val="Calibri"/>
      <color rgb="006B7280"/>
      <sz val="10"/>
    </font>
    <font>
      <name val="Calibri"/>
      <b val="1"/>
      <color rgb="007C2D12"/>
      <sz val="11"/>
    </font>
    <font>
      <name val="Calibri"/>
      <b val="1"/>
      <i val="1"/>
      <color rgb="00374151"/>
      <sz val="10"/>
    </font>
  </fonts>
  <fills count="6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E5E7EB"/>
      </patternFill>
    </fill>
    <fill>
      <patternFill patternType="solid">
        <fgColor rgb="00FFFDF5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top style="thin">
        <color rgb="009CA3AF"/>
      </top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6" fillId="3" borderId="0" pivotButton="0" quotePrefix="0" xfId="0"/>
    <xf numFmtId="164" fontId="6" fillId="3" borderId="0" pivotButton="0" quotePrefix="0" xfId="0"/>
    <xf numFmtId="0" fontId="7" fillId="0" borderId="0" pivotButton="0" quotePrefix="0" xfId="0"/>
    <xf numFmtId="164" fontId="7" fillId="0" borderId="0" pivotButton="0" quotePrefix="0" xfId="0"/>
    <xf numFmtId="0" fontId="8" fillId="0" borderId="0" pivotButton="0" quotePrefix="0" xfId="0"/>
    <xf numFmtId="164" fontId="8" fillId="4" borderId="0" pivotButton="0" quotePrefix="0" xfId="0"/>
    <xf numFmtId="0" fontId="0" fillId="5" borderId="1" pivotButton="0" quotePrefix="0" xfId="0"/>
    <xf numFmtId="0" fontId="9" fillId="5" borderId="1" pivotButton="0" quotePrefix="0" xfId="0"/>
    <xf numFmtId="164" fontId="9" fillId="5" borderId="1" pivotButton="0" quotePrefix="0" xfId="0"/>
    <xf numFmtId="164" fontId="7" fillId="4" borderId="0" pivotButton="0" quotePrefix="0" xfId="0"/>
    <xf numFmtId="0" fontId="10" fillId="0" borderId="0" pivotButton="0" quotePrefix="0" xfId="0"/>
    <xf numFmtId="164" fontId="2" fillId="0" borderId="0" pivotButton="0" quotePrefix="0" xfId="0"/>
    <xf numFmtId="164" fontId="2" fillId="4" borderId="0" pivotButton="0" quotePrefix="0" xfId="0"/>
    <xf numFmtId="164" fontId="8" fillId="0" borderId="0" pivotButton="0" quotePrefix="0" xfId="0"/>
    <xf numFmtId="165" fontId="8" fillId="0" borderId="0" pivotButton="0" quotePrefix="0" xfId="0"/>
    <xf numFmtId="165" fontId="8" fillId="4" borderId="0" pivotButton="0" quotePrefix="0" xfId="0"/>
    <xf numFmtId="165" fontId="7" fillId="0" borderId="0" pivotButton="0" quotePrefix="0" xfId="0"/>
    <xf numFmtId="0" fontId="7" fillId="3" borderId="0" pivotButton="0" quotePrefix="0" xfId="0"/>
    <xf numFmtId="0" fontId="0" fillId="3" borderId="0" pivotButton="0" quotePrefix="0" xfId="0"/>
    <xf numFmtId="1" fontId="7" fillId="4" borderId="0" pivotButton="0" quotePrefix="0" xfId="0"/>
    <xf numFmtId="166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42" customWidth="1" min="3" max="3"/>
    <col width="32" customWidth="1" min="4" max="4"/>
    <col width="48" customWidth="1" min="5" max="5"/>
    <col width="10" customWidth="1" min="6" max="6"/>
    <col width="13" customWidth="1" min="7" max="7"/>
    <col width="34" customWidth="1" min="8" max="8"/>
    <col width="11" customWidth="1" min="9" max="9"/>
    <col width="8" customWidth="1" min="10" max="10"/>
    <col width="22" customWidth="1" min="11" max="11"/>
    <col width="60" customWidth="1" min="12" max="12"/>
  </cols>
  <sheetData>
    <row r="1">
      <c r="A1" s="1" t="inlineStr">
        <is>
          <t>MAPPATURA DELLE VOCI DI CONTO SUL CASH FLOW</t>
        </is>
      </c>
    </row>
    <row r="2">
      <c r="A2" s="2" t="inlineStr">
        <is>
          <t>Fonte di verita' della riclassificazione. Un movimento si registra sempre sulla voce di dettaglio: famiglia e sottogruppo sono derivati, mai scelti a mano.</t>
        </is>
      </c>
    </row>
    <row r="4" ht="22" customHeight="1">
      <c r="A4" s="3" t="inlineStr">
        <is>
          <t>Codice</t>
        </is>
      </c>
      <c r="B4" s="3" t="inlineStr">
        <is>
          <t>Sezione</t>
        </is>
      </c>
      <c r="C4" s="3" t="inlineStr">
        <is>
          <t>Mastro</t>
        </is>
      </c>
      <c r="D4" s="3" t="inlineStr">
        <is>
          <t>Gruppo</t>
        </is>
      </c>
      <c r="E4" s="3" t="inlineStr">
        <is>
          <t>Voce di conto</t>
        </is>
      </c>
      <c r="F4" s="3" t="inlineStr">
        <is>
          <t>Famiglia</t>
        </is>
      </c>
      <c r="G4" s="3" t="inlineStr">
        <is>
          <t>Sottogruppo</t>
        </is>
      </c>
      <c r="H4" s="3" t="inlineStr">
        <is>
          <t>Nome sottogruppo</t>
        </is>
      </c>
      <c r="I4" s="3" t="inlineStr">
        <is>
          <t>Segno</t>
        </is>
      </c>
      <c r="J4" s="3" t="inlineStr">
        <is>
          <t>Cassa</t>
        </is>
      </c>
      <c r="K4" s="3" t="inlineStr">
        <is>
          <t>Regola centro di costo</t>
        </is>
      </c>
      <c r="L4" s="3" t="inlineStr">
        <is>
          <t>Note</t>
        </is>
      </c>
    </row>
    <row r="5">
      <c r="A5" s="4" t="inlineStr">
        <is>
          <t>10.01</t>
        </is>
      </c>
      <c r="B5" s="4" t="inlineStr">
        <is>
          <t>RICAVI</t>
        </is>
      </c>
      <c r="C5" s="4" t="inlineStr">
        <is>
          <t>10 - Ricavi delle vendite e delle prestazioni</t>
        </is>
      </c>
      <c r="D5" s="4" t="inlineStr"/>
      <c r="E5" s="4" t="inlineStr">
        <is>
          <t>Corrispettivi</t>
        </is>
      </c>
      <c r="F5" s="4" t="inlineStr">
        <is>
          <t>A</t>
        </is>
      </c>
      <c r="G5" s="4" t="inlineStr">
        <is>
          <t>A1</t>
        </is>
      </c>
      <c r="H5" s="4" t="inlineStr">
        <is>
          <t>Corrispettivi</t>
        </is>
      </c>
      <c r="I5" s="4" t="inlineStr">
        <is>
          <t>Entrata</t>
        </is>
      </c>
      <c r="J5" s="4" t="inlineStr">
        <is>
          <t>SI</t>
        </is>
      </c>
      <c r="K5" s="4" t="inlineStr">
        <is>
          <t>Obbligatorio</t>
        </is>
      </c>
      <c r="L5" s="5" t="inlineStr"/>
    </row>
    <row r="6">
      <c r="A6" s="4" t="inlineStr">
        <is>
          <t>10.09</t>
        </is>
      </c>
      <c r="B6" s="4" t="inlineStr">
        <is>
          <t>RICAVI</t>
        </is>
      </c>
      <c r="C6" s="4" t="inlineStr">
        <is>
          <t>10 - Ricavi delle vendite e delle prestazioni</t>
        </is>
      </c>
      <c r="D6" s="4" t="inlineStr"/>
      <c r="E6" s="4" t="inlineStr">
        <is>
          <t>Resi, sconti e abbuoni su vendite</t>
        </is>
      </c>
      <c r="F6" s="4" t="inlineStr">
        <is>
          <t>A</t>
        </is>
      </c>
      <c r="G6" s="4" t="inlineStr">
        <is>
          <t>A1</t>
        </is>
      </c>
      <c r="H6" s="4" t="inlineStr">
        <is>
          <t>Corrispettivi</t>
        </is>
      </c>
      <c r="I6" s="4" t="inlineStr">
        <is>
          <t>Rettifica</t>
        </is>
      </c>
      <c r="J6" s="4" t="inlineStr">
        <is>
          <t>SI</t>
        </is>
      </c>
      <c r="K6" s="4" t="inlineStr">
        <is>
          <t>Obbligatorio</t>
        </is>
      </c>
      <c r="L6" s="5" t="inlineStr">
        <is>
          <t>Segno negativo: rettifica dei ricavi</t>
        </is>
      </c>
    </row>
    <row r="7">
      <c r="A7" s="4" t="inlineStr">
        <is>
          <t>11.01</t>
        </is>
      </c>
      <c r="B7" s="4" t="inlineStr">
        <is>
          <t>RICAVI</t>
        </is>
      </c>
      <c r="C7" s="4" t="inlineStr">
        <is>
          <t>11 - Ricavi eventi</t>
        </is>
      </c>
      <c r="D7" s="4" t="inlineStr"/>
      <c r="E7" s="4" t="inlineStr">
        <is>
          <t>Ricavi eventi serali (ingressi e consumazioni)</t>
        </is>
      </c>
      <c r="F7" s="4" t="inlineStr">
        <is>
          <t>A</t>
        </is>
      </c>
      <c r="G7" s="4" t="inlineStr">
        <is>
          <t>A2</t>
        </is>
      </c>
      <c r="H7" s="4" t="inlineStr">
        <is>
          <t>Eventi</t>
        </is>
      </c>
      <c r="I7" s="4" t="inlineStr">
        <is>
          <t>Entrata</t>
        </is>
      </c>
      <c r="J7" s="4" t="inlineStr">
        <is>
          <t>SI</t>
        </is>
      </c>
      <c r="K7" s="4" t="inlineStr">
        <is>
          <t>Obbligatorio</t>
        </is>
      </c>
      <c r="L7" s="5" t="inlineStr"/>
    </row>
    <row r="8">
      <c r="A8" s="4" t="inlineStr">
        <is>
          <t>11.02</t>
        </is>
      </c>
      <c r="B8" s="4" t="inlineStr">
        <is>
          <t>RICAVI</t>
        </is>
      </c>
      <c r="C8" s="4" t="inlineStr">
        <is>
          <t>11 - Ricavi eventi</t>
        </is>
      </c>
      <c r="D8" s="4" t="inlineStr"/>
      <c r="E8" s="4" t="inlineStr">
        <is>
          <t>Ricavi eventi privati e compleanni</t>
        </is>
      </c>
      <c r="F8" s="4" t="inlineStr">
        <is>
          <t>A</t>
        </is>
      </c>
      <c r="G8" s="4" t="inlineStr">
        <is>
          <t>A2</t>
        </is>
      </c>
      <c r="H8" s="4" t="inlineStr">
        <is>
          <t>Eventi</t>
        </is>
      </c>
      <c r="I8" s="4" t="inlineStr">
        <is>
          <t>Entrata</t>
        </is>
      </c>
      <c r="J8" s="4" t="inlineStr">
        <is>
          <t>SI</t>
        </is>
      </c>
      <c r="K8" s="4" t="inlineStr">
        <is>
          <t>Obbligatorio</t>
        </is>
      </c>
      <c r="L8" s="5" t="inlineStr"/>
    </row>
    <row r="9">
      <c r="A9" s="4" t="inlineStr">
        <is>
          <t>12.01</t>
        </is>
      </c>
      <c r="B9" s="4" t="inlineStr">
        <is>
          <t>RICAVI</t>
        </is>
      </c>
      <c r="C9" s="4" t="inlineStr">
        <is>
          <t>12 - Altri ricavi e proventi</t>
        </is>
      </c>
      <c r="D9" s="4" t="inlineStr"/>
      <c r="E9" s="4" t="inlineStr">
        <is>
          <t>Proventi vari</t>
        </is>
      </c>
      <c r="F9" s="4" t="inlineStr">
        <is>
          <t>A</t>
        </is>
      </c>
      <c r="G9" s="4" t="inlineStr">
        <is>
          <t>A3</t>
        </is>
      </c>
      <c r="H9" s="4" t="inlineStr">
        <is>
          <t>Altri proventi</t>
        </is>
      </c>
      <c r="I9" s="4" t="inlineStr">
        <is>
          <t>Entrata</t>
        </is>
      </c>
      <c r="J9" s="4" t="inlineStr">
        <is>
          <t>SI</t>
        </is>
      </c>
      <c r="K9" s="4" t="inlineStr">
        <is>
          <t>Default STR</t>
        </is>
      </c>
      <c r="L9" s="5" t="inlineStr"/>
    </row>
    <row r="10">
      <c r="A10" s="4" t="inlineStr">
        <is>
          <t>12.02</t>
        </is>
      </c>
      <c r="B10" s="4" t="inlineStr">
        <is>
          <t>RICAVI</t>
        </is>
      </c>
      <c r="C10" s="4" t="inlineStr">
        <is>
          <t>12 - Altri ricavi e proventi</t>
        </is>
      </c>
      <c r="D10" s="4" t="inlineStr"/>
      <c r="E10" s="4" t="inlineStr">
        <is>
          <t>Contributi in conto esercizio</t>
        </is>
      </c>
      <c r="F10" s="4" t="inlineStr">
        <is>
          <t>A</t>
        </is>
      </c>
      <c r="G10" s="4" t="inlineStr">
        <is>
          <t>A3</t>
        </is>
      </c>
      <c r="H10" s="4" t="inlineStr">
        <is>
          <t>Altri proventi</t>
        </is>
      </c>
      <c r="I10" s="4" t="inlineStr">
        <is>
          <t>Entrata</t>
        </is>
      </c>
      <c r="J10" s="4" t="inlineStr">
        <is>
          <t>SI</t>
        </is>
      </c>
      <c r="K10" s="4" t="inlineStr">
        <is>
          <t>Default STR</t>
        </is>
      </c>
      <c r="L10" s="5" t="inlineStr"/>
    </row>
    <row r="11">
      <c r="A11" s="4" t="inlineStr">
        <is>
          <t>12.03</t>
        </is>
      </c>
      <c r="B11" s="4" t="inlineStr">
        <is>
          <t>RICAVI</t>
        </is>
      </c>
      <c r="C11" s="4" t="inlineStr">
        <is>
          <t>12 - Altri ricavi e proventi</t>
        </is>
      </c>
      <c r="D11" s="4" t="inlineStr"/>
      <c r="E11" s="4" t="inlineStr">
        <is>
          <t>Rimborsi assicurativi</t>
        </is>
      </c>
      <c r="F11" s="4" t="inlineStr">
        <is>
          <t>A</t>
        </is>
      </c>
      <c r="G11" s="4" t="inlineStr">
        <is>
          <t>A3</t>
        </is>
      </c>
      <c r="H11" s="4" t="inlineStr">
        <is>
          <t>Altri proventi</t>
        </is>
      </c>
      <c r="I11" s="4" t="inlineStr">
        <is>
          <t>Entrata</t>
        </is>
      </c>
      <c r="J11" s="4" t="inlineStr">
        <is>
          <t>SI</t>
        </is>
      </c>
      <c r="K11" s="4" t="inlineStr">
        <is>
          <t>Default STR</t>
        </is>
      </c>
      <c r="L11" s="5" t="inlineStr"/>
    </row>
    <row r="12">
      <c r="A12" s="4" t="inlineStr">
        <is>
          <t>12.04</t>
        </is>
      </c>
      <c r="B12" s="4" t="inlineStr">
        <is>
          <t>RICAVI</t>
        </is>
      </c>
      <c r="C12" s="4" t="inlineStr">
        <is>
          <t>12 - Altri ricavi e proventi</t>
        </is>
      </c>
      <c r="D12" s="4" t="inlineStr"/>
      <c r="E12" s="4" t="inlineStr">
        <is>
          <t>Premi, bonus e contributi da fornitori</t>
        </is>
      </c>
      <c r="F12" s="4" t="inlineStr">
        <is>
          <t>A</t>
        </is>
      </c>
      <c r="G12" s="4" t="inlineStr">
        <is>
          <t>A3</t>
        </is>
      </c>
      <c r="H12" s="4" t="inlineStr">
        <is>
          <t>Altri proventi</t>
        </is>
      </c>
      <c r="I12" s="4" t="inlineStr">
        <is>
          <t>Entrata</t>
        </is>
      </c>
      <c r="J12" s="4" t="inlineStr">
        <is>
          <t>SI</t>
        </is>
      </c>
      <c r="K12" s="4" t="inlineStr">
        <is>
          <t>Default STR</t>
        </is>
      </c>
      <c r="L12" s="5" t="inlineStr"/>
    </row>
    <row r="13">
      <c r="A13" s="4" t="inlineStr">
        <is>
          <t>12.06</t>
        </is>
      </c>
      <c r="B13" s="4" t="inlineStr">
        <is>
          <t>RICAVI</t>
        </is>
      </c>
      <c r="C13" s="4" t="inlineStr">
        <is>
          <t>12 - Altri ricavi e proventi</t>
        </is>
      </c>
      <c r="D13" s="4" t="inlineStr"/>
      <c r="E13" s="4" t="inlineStr">
        <is>
          <t>Sopravvenienze attive</t>
        </is>
      </c>
      <c r="F13" s="4" t="inlineStr">
        <is>
          <t>A</t>
        </is>
      </c>
      <c r="G13" s="4" t="inlineStr">
        <is>
          <t>A3</t>
        </is>
      </c>
      <c r="H13" s="4" t="inlineStr">
        <is>
          <t>Altri proventi</t>
        </is>
      </c>
      <c r="I13" s="4" t="inlineStr">
        <is>
          <t>Entrata</t>
        </is>
      </c>
      <c r="J13" s="4" t="inlineStr">
        <is>
          <t>SI</t>
        </is>
      </c>
      <c r="K13" s="4" t="inlineStr">
        <is>
          <t>Default STR</t>
        </is>
      </c>
      <c r="L13" s="5" t="inlineStr"/>
    </row>
    <row r="14">
      <c r="A14" s="6" t="inlineStr">
        <is>
          <t>12.07</t>
        </is>
      </c>
      <c r="B14" s="6" t="inlineStr">
        <is>
          <t>RICAVI</t>
        </is>
      </c>
      <c r="C14" s="6" t="inlineStr">
        <is>
          <t>12 - Altri ricavi e proventi</t>
        </is>
      </c>
      <c r="D14" s="6" t="inlineStr"/>
      <c r="E14" s="6" t="inlineStr">
        <is>
          <t>Plusvalenze da alienazione cespiti</t>
        </is>
      </c>
      <c r="F14" s="6" t="inlineStr"/>
      <c r="G14" s="6" t="inlineStr"/>
      <c r="H14" s="6" t="inlineStr"/>
      <c r="I14" s="6" t="inlineStr">
        <is>
          <t>-</t>
        </is>
      </c>
      <c r="J14" s="6" t="inlineStr">
        <is>
          <t>NO</t>
        </is>
      </c>
      <c r="K14" s="6" t="inlineStr">
        <is>
          <t>Default STR</t>
        </is>
      </c>
      <c r="L14" s="7" t="inlineStr">
        <is>
          <t>Fuori cash flow: Plusvalenza contabile; l'incasso della cessione e' 40.1.04</t>
        </is>
      </c>
    </row>
    <row r="15">
      <c r="A15" s="4" t="inlineStr">
        <is>
          <t>13.01</t>
        </is>
      </c>
      <c r="B15" s="4" t="inlineStr">
        <is>
          <t>RICAVI</t>
        </is>
      </c>
      <c r="C15" s="4" t="inlineStr">
        <is>
          <t>13 - Proventi finanziari</t>
        </is>
      </c>
      <c r="D15" s="4" t="inlineStr"/>
      <c r="E15" s="4" t="inlineStr">
        <is>
          <t>Interessi attivi bancari</t>
        </is>
      </c>
      <c r="F15" s="4" t="inlineStr">
        <is>
          <t>A</t>
        </is>
      </c>
      <c r="G15" s="4" t="inlineStr">
        <is>
          <t>A3</t>
        </is>
      </c>
      <c r="H15" s="4" t="inlineStr">
        <is>
          <t>Altri proventi</t>
        </is>
      </c>
      <c r="I15" s="4" t="inlineStr">
        <is>
          <t>Entrata</t>
        </is>
      </c>
      <c r="J15" s="4" t="inlineStr">
        <is>
          <t>SI</t>
        </is>
      </c>
      <c r="K15" s="4" t="inlineStr">
        <is>
          <t>Default STR</t>
        </is>
      </c>
      <c r="L15" s="5" t="inlineStr"/>
    </row>
    <row r="16">
      <c r="A16" s="4" t="inlineStr">
        <is>
          <t>13.02</t>
        </is>
      </c>
      <c r="B16" s="4" t="inlineStr">
        <is>
          <t>RICAVI</t>
        </is>
      </c>
      <c r="C16" s="4" t="inlineStr">
        <is>
          <t>13 - Proventi finanziari</t>
        </is>
      </c>
      <c r="D16" s="4" t="inlineStr"/>
      <c r="E16" s="4" t="inlineStr">
        <is>
          <t>Altri proventi finanziari</t>
        </is>
      </c>
      <c r="F16" s="4" t="inlineStr">
        <is>
          <t>A</t>
        </is>
      </c>
      <c r="G16" s="4" t="inlineStr">
        <is>
          <t>A3</t>
        </is>
      </c>
      <c r="H16" s="4" t="inlineStr">
        <is>
          <t>Altri proventi</t>
        </is>
      </c>
      <c r="I16" s="4" t="inlineStr">
        <is>
          <t>Entrata</t>
        </is>
      </c>
      <c r="J16" s="4" t="inlineStr">
        <is>
          <t>SI</t>
        </is>
      </c>
      <c r="K16" s="4" t="inlineStr">
        <is>
          <t>Default STR</t>
        </is>
      </c>
      <c r="L16" s="5" t="inlineStr"/>
    </row>
    <row r="17">
      <c r="A17" s="4" t="inlineStr">
        <is>
          <t>20.1.01</t>
        </is>
      </c>
      <c r="B17" s="4" t="inlineStr">
        <is>
          <t>COSTI</t>
        </is>
      </c>
      <c r="C17" s="4" t="inlineStr">
        <is>
          <t>20 - Materie prime, sussidiarie e merci</t>
        </is>
      </c>
      <c r="D17" s="4" t="inlineStr">
        <is>
          <t>20.1 - Beverage alcolico</t>
        </is>
      </c>
      <c r="E17" s="4" t="inlineStr">
        <is>
          <t>Birra fusto</t>
        </is>
      </c>
      <c r="F17" s="4" t="inlineStr">
        <is>
          <t>B</t>
        </is>
      </c>
      <c r="G17" s="4" t="inlineStr">
        <is>
          <t>B1</t>
        </is>
      </c>
      <c r="H17" s="4" t="inlineStr">
        <is>
          <t>Beverage alcolico</t>
        </is>
      </c>
      <c r="I17" s="4" t="inlineStr">
        <is>
          <t>Uscita</t>
        </is>
      </c>
      <c r="J17" s="4" t="inlineStr">
        <is>
          <t>SI</t>
        </is>
      </c>
      <c r="K17" s="4" t="inlineStr">
        <is>
          <t>Obbligatorio</t>
        </is>
      </c>
      <c r="L17" s="5" t="inlineStr"/>
    </row>
    <row r="18">
      <c r="A18" s="4" t="inlineStr">
        <is>
          <t>20.1.02</t>
        </is>
      </c>
      <c r="B18" s="4" t="inlineStr">
        <is>
          <t>COSTI</t>
        </is>
      </c>
      <c r="C18" s="4" t="inlineStr">
        <is>
          <t>20 - Materie prime, sussidiarie e merci</t>
        </is>
      </c>
      <c r="D18" s="4" t="inlineStr">
        <is>
          <t>20.1 - Beverage alcolico</t>
        </is>
      </c>
      <c r="E18" s="4" t="inlineStr">
        <is>
          <t>Birra bottiglia e lattina</t>
        </is>
      </c>
      <c r="F18" s="4" t="inlineStr">
        <is>
          <t>B</t>
        </is>
      </c>
      <c r="G18" s="4" t="inlineStr">
        <is>
          <t>B1</t>
        </is>
      </c>
      <c r="H18" s="4" t="inlineStr">
        <is>
          <t>Beverage alcolico</t>
        </is>
      </c>
      <c r="I18" s="4" t="inlineStr">
        <is>
          <t>Uscita</t>
        </is>
      </c>
      <c r="J18" s="4" t="inlineStr">
        <is>
          <t>SI</t>
        </is>
      </c>
      <c r="K18" s="4" t="inlineStr">
        <is>
          <t>Obbligatorio</t>
        </is>
      </c>
      <c r="L18" s="5" t="inlineStr"/>
    </row>
    <row r="19">
      <c r="A19" s="4" t="inlineStr">
        <is>
          <t>20.1.03</t>
        </is>
      </c>
      <c r="B19" s="4" t="inlineStr">
        <is>
          <t>COSTI</t>
        </is>
      </c>
      <c r="C19" s="4" t="inlineStr">
        <is>
          <t>20 - Materie prime, sussidiarie e merci</t>
        </is>
      </c>
      <c r="D19" s="4" t="inlineStr">
        <is>
          <t>20.1 - Beverage alcolico</t>
        </is>
      </c>
      <c r="E19" s="4" t="inlineStr">
        <is>
          <t>Distillati e liquori</t>
        </is>
      </c>
      <c r="F19" s="4" t="inlineStr">
        <is>
          <t>B</t>
        </is>
      </c>
      <c r="G19" s="4" t="inlineStr">
        <is>
          <t>B1</t>
        </is>
      </c>
      <c r="H19" s="4" t="inlineStr">
        <is>
          <t>Beverage alcolico</t>
        </is>
      </c>
      <c r="I19" s="4" t="inlineStr">
        <is>
          <t>Uscita</t>
        </is>
      </c>
      <c r="J19" s="4" t="inlineStr">
        <is>
          <t>SI</t>
        </is>
      </c>
      <c r="K19" s="4" t="inlineStr">
        <is>
          <t>Obbligatorio</t>
        </is>
      </c>
      <c r="L19" s="5" t="inlineStr"/>
    </row>
    <row r="20">
      <c r="A20" s="4" t="inlineStr">
        <is>
          <t>20.1.04</t>
        </is>
      </c>
      <c r="B20" s="4" t="inlineStr">
        <is>
          <t>COSTI</t>
        </is>
      </c>
      <c r="C20" s="4" t="inlineStr">
        <is>
          <t>20 - Materie prime, sussidiarie e merci</t>
        </is>
      </c>
      <c r="D20" s="4" t="inlineStr">
        <is>
          <t>20.1 - Beverage alcolico</t>
        </is>
      </c>
      <c r="E20" s="4" t="inlineStr">
        <is>
          <t>Vermouth, bitter e aperitivi</t>
        </is>
      </c>
      <c r="F20" s="4" t="inlineStr">
        <is>
          <t>B</t>
        </is>
      </c>
      <c r="G20" s="4" t="inlineStr">
        <is>
          <t>B1</t>
        </is>
      </c>
      <c r="H20" s="4" t="inlineStr">
        <is>
          <t>Beverage alcolico</t>
        </is>
      </c>
      <c r="I20" s="4" t="inlineStr">
        <is>
          <t>Uscita</t>
        </is>
      </c>
      <c r="J20" s="4" t="inlineStr">
        <is>
          <t>SI</t>
        </is>
      </c>
      <c r="K20" s="4" t="inlineStr">
        <is>
          <t>Obbligatorio</t>
        </is>
      </c>
      <c r="L20" s="5" t="inlineStr"/>
    </row>
    <row r="21">
      <c r="A21" s="4" t="inlineStr">
        <is>
          <t>20.1.05</t>
        </is>
      </c>
      <c r="B21" s="4" t="inlineStr">
        <is>
          <t>COSTI</t>
        </is>
      </c>
      <c r="C21" s="4" t="inlineStr">
        <is>
          <t>20 - Materie prime, sussidiarie e merci</t>
        </is>
      </c>
      <c r="D21" s="4" t="inlineStr">
        <is>
          <t>20.1 - Beverage alcolico</t>
        </is>
      </c>
      <c r="E21" s="4" t="inlineStr">
        <is>
          <t>Vini</t>
        </is>
      </c>
      <c r="F21" s="4" t="inlineStr">
        <is>
          <t>B</t>
        </is>
      </c>
      <c r="G21" s="4" t="inlineStr">
        <is>
          <t>B1</t>
        </is>
      </c>
      <c r="H21" s="4" t="inlineStr">
        <is>
          <t>Beverage alcolico</t>
        </is>
      </c>
      <c r="I21" s="4" t="inlineStr">
        <is>
          <t>Uscita</t>
        </is>
      </c>
      <c r="J21" s="4" t="inlineStr">
        <is>
          <t>SI</t>
        </is>
      </c>
      <c r="K21" s="4" t="inlineStr">
        <is>
          <t>Obbligatorio</t>
        </is>
      </c>
      <c r="L21" s="5" t="inlineStr"/>
    </row>
    <row r="22">
      <c r="A22" s="4" t="inlineStr">
        <is>
          <t>20.2.01</t>
        </is>
      </c>
      <c r="B22" s="4" t="inlineStr">
        <is>
          <t>COSTI</t>
        </is>
      </c>
      <c r="C22" s="4" t="inlineStr">
        <is>
          <t>20 - Materie prime, sussidiarie e merci</t>
        </is>
      </c>
      <c r="D22" s="4" t="inlineStr">
        <is>
          <t>20.2 - Beverage analcolico</t>
        </is>
      </c>
      <c r="E22" s="4" t="inlineStr">
        <is>
          <t>Bibite e soft drink</t>
        </is>
      </c>
      <c r="F22" s="4" t="inlineStr">
        <is>
          <t>B</t>
        </is>
      </c>
      <c r="G22" s="4" t="inlineStr">
        <is>
          <t>B2</t>
        </is>
      </c>
      <c r="H22" s="4" t="inlineStr">
        <is>
          <t>Beverage analcolico</t>
        </is>
      </c>
      <c r="I22" s="4" t="inlineStr">
        <is>
          <t>Uscita</t>
        </is>
      </c>
      <c r="J22" s="4" t="inlineStr">
        <is>
          <t>SI</t>
        </is>
      </c>
      <c r="K22" s="4" t="inlineStr">
        <is>
          <t>Obbligatorio</t>
        </is>
      </c>
      <c r="L22" s="5" t="inlineStr"/>
    </row>
    <row r="23">
      <c r="A23" s="4" t="inlineStr">
        <is>
          <t>20.2.02</t>
        </is>
      </c>
      <c r="B23" s="4" t="inlineStr">
        <is>
          <t>COSTI</t>
        </is>
      </c>
      <c r="C23" s="4" t="inlineStr">
        <is>
          <t>20 - Materie prime, sussidiarie e merci</t>
        </is>
      </c>
      <c r="D23" s="4" t="inlineStr">
        <is>
          <t>20.2 - Beverage analcolico</t>
        </is>
      </c>
      <c r="E23" s="4" t="inlineStr">
        <is>
          <t>Acqua minerale</t>
        </is>
      </c>
      <c r="F23" s="4" t="inlineStr">
        <is>
          <t>B</t>
        </is>
      </c>
      <c r="G23" s="4" t="inlineStr">
        <is>
          <t>B2</t>
        </is>
      </c>
      <c r="H23" s="4" t="inlineStr">
        <is>
          <t>Beverage analcolico</t>
        </is>
      </c>
      <c r="I23" s="4" t="inlineStr">
        <is>
          <t>Uscita</t>
        </is>
      </c>
      <c r="J23" s="4" t="inlineStr">
        <is>
          <t>SI</t>
        </is>
      </c>
      <c r="K23" s="4" t="inlineStr">
        <is>
          <t>Obbligatorio</t>
        </is>
      </c>
      <c r="L23" s="5" t="inlineStr"/>
    </row>
    <row r="24">
      <c r="A24" s="4" t="inlineStr">
        <is>
          <t>20.2.03</t>
        </is>
      </c>
      <c r="B24" s="4" t="inlineStr">
        <is>
          <t>COSTI</t>
        </is>
      </c>
      <c r="C24" s="4" t="inlineStr">
        <is>
          <t>20 - Materie prime, sussidiarie e merci</t>
        </is>
      </c>
      <c r="D24" s="4" t="inlineStr">
        <is>
          <t>20.2 - Beverage analcolico</t>
        </is>
      </c>
      <c r="E24" s="4" t="inlineStr">
        <is>
          <t>Succhi, nettari e centrifugati</t>
        </is>
      </c>
      <c r="F24" s="4" t="inlineStr">
        <is>
          <t>B</t>
        </is>
      </c>
      <c r="G24" s="4" t="inlineStr">
        <is>
          <t>B2</t>
        </is>
      </c>
      <c r="H24" s="4" t="inlineStr">
        <is>
          <t>Beverage analcolico</t>
        </is>
      </c>
      <c r="I24" s="4" t="inlineStr">
        <is>
          <t>Uscita</t>
        </is>
      </c>
      <c r="J24" s="4" t="inlineStr">
        <is>
          <t>SI</t>
        </is>
      </c>
      <c r="K24" s="4" t="inlineStr">
        <is>
          <t>Obbligatorio</t>
        </is>
      </c>
      <c r="L24" s="5" t="inlineStr"/>
    </row>
    <row r="25">
      <c r="A25" s="4" t="inlineStr">
        <is>
          <t>20.2.04</t>
        </is>
      </c>
      <c r="B25" s="4" t="inlineStr">
        <is>
          <t>COSTI</t>
        </is>
      </c>
      <c r="C25" s="4" t="inlineStr">
        <is>
          <t>20 - Materie prime, sussidiarie e merci</t>
        </is>
      </c>
      <c r="D25" s="4" t="inlineStr">
        <is>
          <t>20.2 - Beverage analcolico</t>
        </is>
      </c>
      <c r="E25" s="4" t="inlineStr">
        <is>
          <t>Sciroppi, purea e mixer</t>
        </is>
      </c>
      <c r="F25" s="4" t="inlineStr">
        <is>
          <t>B</t>
        </is>
      </c>
      <c r="G25" s="4" t="inlineStr">
        <is>
          <t>B2</t>
        </is>
      </c>
      <c r="H25" s="4" t="inlineStr">
        <is>
          <t>Beverage analcolico</t>
        </is>
      </c>
      <c r="I25" s="4" t="inlineStr">
        <is>
          <t>Uscita</t>
        </is>
      </c>
      <c r="J25" s="4" t="inlineStr">
        <is>
          <t>SI</t>
        </is>
      </c>
      <c r="K25" s="4" t="inlineStr">
        <is>
          <t>Obbligatorio</t>
        </is>
      </c>
      <c r="L25" s="5" t="inlineStr"/>
    </row>
    <row r="26">
      <c r="A26" s="4" t="inlineStr">
        <is>
          <t>20.3.01</t>
        </is>
      </c>
      <c r="B26" s="4" t="inlineStr">
        <is>
          <t>COSTI</t>
        </is>
      </c>
      <c r="C26" s="4" t="inlineStr">
        <is>
          <t>20 - Materie prime, sussidiarie e merci</t>
        </is>
      </c>
      <c r="D26" s="4" t="inlineStr">
        <is>
          <t>20.3 - Caffetteria</t>
        </is>
      </c>
      <c r="E26" s="4" t="inlineStr">
        <is>
          <t>Caffè</t>
        </is>
      </c>
      <c r="F26" s="4" t="inlineStr">
        <is>
          <t>B</t>
        </is>
      </c>
      <c r="G26" s="4" t="inlineStr">
        <is>
          <t>B3</t>
        </is>
      </c>
      <c r="H26" s="4" t="inlineStr">
        <is>
          <t>Caffetteria</t>
        </is>
      </c>
      <c r="I26" s="4" t="inlineStr">
        <is>
          <t>Uscita</t>
        </is>
      </c>
      <c r="J26" s="4" t="inlineStr">
        <is>
          <t>SI</t>
        </is>
      </c>
      <c r="K26" s="4" t="inlineStr">
        <is>
          <t>Obbligatorio</t>
        </is>
      </c>
      <c r="L26" s="5" t="inlineStr"/>
    </row>
    <row r="27">
      <c r="A27" s="4" t="inlineStr">
        <is>
          <t>20.3.02</t>
        </is>
      </c>
      <c r="B27" s="4" t="inlineStr">
        <is>
          <t>COSTI</t>
        </is>
      </c>
      <c r="C27" s="4" t="inlineStr">
        <is>
          <t>20 - Materie prime, sussidiarie e merci</t>
        </is>
      </c>
      <c r="D27" s="4" t="inlineStr">
        <is>
          <t>20.3 - Caffetteria</t>
        </is>
      </c>
      <c r="E27" s="4" t="inlineStr">
        <is>
          <t>Latte e derivati</t>
        </is>
      </c>
      <c r="F27" s="4" t="inlineStr">
        <is>
          <t>B</t>
        </is>
      </c>
      <c r="G27" s="4" t="inlineStr">
        <is>
          <t>B3</t>
        </is>
      </c>
      <c r="H27" s="4" t="inlineStr">
        <is>
          <t>Caffetteria</t>
        </is>
      </c>
      <c r="I27" s="4" t="inlineStr">
        <is>
          <t>Uscita</t>
        </is>
      </c>
      <c r="J27" s="4" t="inlineStr">
        <is>
          <t>SI</t>
        </is>
      </c>
      <c r="K27" s="4" t="inlineStr">
        <is>
          <t>Obbligatorio</t>
        </is>
      </c>
      <c r="L27" s="5" t="inlineStr"/>
    </row>
    <row r="28">
      <c r="A28" s="4" t="inlineStr">
        <is>
          <t>20.3.03</t>
        </is>
      </c>
      <c r="B28" s="4" t="inlineStr">
        <is>
          <t>COSTI</t>
        </is>
      </c>
      <c r="C28" s="4" t="inlineStr">
        <is>
          <t>20 - Materie prime, sussidiarie e merci</t>
        </is>
      </c>
      <c r="D28" s="4" t="inlineStr">
        <is>
          <t>20.3 - Caffetteria</t>
        </is>
      </c>
      <c r="E28" s="4" t="inlineStr">
        <is>
          <t>Tè, infusi e cioccolata</t>
        </is>
      </c>
      <c r="F28" s="4" t="inlineStr">
        <is>
          <t>B</t>
        </is>
      </c>
      <c r="G28" s="4" t="inlineStr">
        <is>
          <t>B3</t>
        </is>
      </c>
      <c r="H28" s="4" t="inlineStr">
        <is>
          <t>Caffetteria</t>
        </is>
      </c>
      <c r="I28" s="4" t="inlineStr">
        <is>
          <t>Uscita</t>
        </is>
      </c>
      <c r="J28" s="4" t="inlineStr">
        <is>
          <t>SI</t>
        </is>
      </c>
      <c r="K28" s="4" t="inlineStr">
        <is>
          <t>Obbligatorio</t>
        </is>
      </c>
      <c r="L28" s="5" t="inlineStr"/>
    </row>
    <row r="29">
      <c r="A29" s="4" t="inlineStr">
        <is>
          <t>20.3.04</t>
        </is>
      </c>
      <c r="B29" s="4" t="inlineStr">
        <is>
          <t>COSTI</t>
        </is>
      </c>
      <c r="C29" s="4" t="inlineStr">
        <is>
          <t>20 - Materie prime, sussidiarie e merci</t>
        </is>
      </c>
      <c r="D29" s="4" t="inlineStr">
        <is>
          <t>20.3 - Caffetteria</t>
        </is>
      </c>
      <c r="E29" s="4" t="inlineStr">
        <is>
          <t>Zucchero e complementi caffetteria</t>
        </is>
      </c>
      <c r="F29" s="4" t="inlineStr">
        <is>
          <t>B</t>
        </is>
      </c>
      <c r="G29" s="4" t="inlineStr">
        <is>
          <t>B3</t>
        </is>
      </c>
      <c r="H29" s="4" t="inlineStr">
        <is>
          <t>Caffetteria</t>
        </is>
      </c>
      <c r="I29" s="4" t="inlineStr">
        <is>
          <t>Uscita</t>
        </is>
      </c>
      <c r="J29" s="4" t="inlineStr">
        <is>
          <t>SI</t>
        </is>
      </c>
      <c r="K29" s="4" t="inlineStr">
        <is>
          <t>Obbligatorio</t>
        </is>
      </c>
      <c r="L29" s="5" t="inlineStr"/>
    </row>
    <row r="30">
      <c r="A30" s="4" t="inlineStr">
        <is>
          <t>20.4.01</t>
        </is>
      </c>
      <c r="B30" s="4" t="inlineStr">
        <is>
          <t>COSTI</t>
        </is>
      </c>
      <c r="C30" s="4" t="inlineStr">
        <is>
          <t>20 - Materie prime, sussidiarie e merci</t>
        </is>
      </c>
      <c r="D30" s="4" t="inlineStr">
        <is>
          <t>20.4 - Food</t>
        </is>
      </c>
      <c r="E30" s="4" t="inlineStr">
        <is>
          <t>Beni alimentari e gastronomia</t>
        </is>
      </c>
      <c r="F30" s="4" t="inlineStr">
        <is>
          <t>B</t>
        </is>
      </c>
      <c r="G30" s="4" t="inlineStr">
        <is>
          <t>B4</t>
        </is>
      </c>
      <c r="H30" s="4" t="inlineStr">
        <is>
          <t>Food</t>
        </is>
      </c>
      <c r="I30" s="4" t="inlineStr">
        <is>
          <t>Uscita</t>
        </is>
      </c>
      <c r="J30" s="4" t="inlineStr">
        <is>
          <t>SI</t>
        </is>
      </c>
      <c r="K30" s="4" t="inlineStr">
        <is>
          <t>Obbligatorio</t>
        </is>
      </c>
      <c r="L30" s="5" t="inlineStr"/>
    </row>
    <row r="31">
      <c r="A31" s="4" t="inlineStr">
        <is>
          <t>20.4.02</t>
        </is>
      </c>
      <c r="B31" s="4" t="inlineStr">
        <is>
          <t>COSTI</t>
        </is>
      </c>
      <c r="C31" s="4" t="inlineStr">
        <is>
          <t>20 - Materie prime, sussidiarie e merci</t>
        </is>
      </c>
      <c r="D31" s="4" t="inlineStr">
        <is>
          <t>20.4 - Food</t>
        </is>
      </c>
      <c r="E31" s="4" t="inlineStr">
        <is>
          <t>Frutta e verdura</t>
        </is>
      </c>
      <c r="F31" s="4" t="inlineStr">
        <is>
          <t>B</t>
        </is>
      </c>
      <c r="G31" s="4" t="inlineStr">
        <is>
          <t>B4</t>
        </is>
      </c>
      <c r="H31" s="4" t="inlineStr">
        <is>
          <t>Food</t>
        </is>
      </c>
      <c r="I31" s="4" t="inlineStr">
        <is>
          <t>Uscita</t>
        </is>
      </c>
      <c r="J31" s="4" t="inlineStr">
        <is>
          <t>SI</t>
        </is>
      </c>
      <c r="K31" s="4" t="inlineStr">
        <is>
          <t>Obbligatorio</t>
        </is>
      </c>
      <c r="L31" s="5" t="inlineStr"/>
    </row>
    <row r="32">
      <c r="A32" s="4" t="inlineStr">
        <is>
          <t>20.4.03</t>
        </is>
      </c>
      <c r="B32" s="4" t="inlineStr">
        <is>
          <t>COSTI</t>
        </is>
      </c>
      <c r="C32" s="4" t="inlineStr">
        <is>
          <t>20 - Materie prime, sussidiarie e merci</t>
        </is>
      </c>
      <c r="D32" s="4" t="inlineStr">
        <is>
          <t>20.4 - Food</t>
        </is>
      </c>
      <c r="E32" s="4" t="inlineStr">
        <is>
          <t>Pane e prodotti da forno</t>
        </is>
      </c>
      <c r="F32" s="4" t="inlineStr">
        <is>
          <t>B</t>
        </is>
      </c>
      <c r="G32" s="4" t="inlineStr">
        <is>
          <t>B4</t>
        </is>
      </c>
      <c r="H32" s="4" t="inlineStr">
        <is>
          <t>Food</t>
        </is>
      </c>
      <c r="I32" s="4" t="inlineStr">
        <is>
          <t>Uscita</t>
        </is>
      </c>
      <c r="J32" s="4" t="inlineStr">
        <is>
          <t>SI</t>
        </is>
      </c>
      <c r="K32" s="4" t="inlineStr">
        <is>
          <t>Obbligatorio</t>
        </is>
      </c>
      <c r="L32" s="5" t="inlineStr"/>
    </row>
    <row r="33">
      <c r="A33" s="4" t="inlineStr">
        <is>
          <t>20.4.04</t>
        </is>
      </c>
      <c r="B33" s="4" t="inlineStr">
        <is>
          <t>COSTI</t>
        </is>
      </c>
      <c r="C33" s="4" t="inlineStr">
        <is>
          <t>20 - Materie prime, sussidiarie e merci</t>
        </is>
      </c>
      <c r="D33" s="4" t="inlineStr">
        <is>
          <t>20.4 - Food</t>
        </is>
      </c>
      <c r="E33" s="4" t="inlineStr">
        <is>
          <t>Pasticceria e dolci</t>
        </is>
      </c>
      <c r="F33" s="4" t="inlineStr">
        <is>
          <t>B</t>
        </is>
      </c>
      <c r="G33" s="4" t="inlineStr">
        <is>
          <t>B4</t>
        </is>
      </c>
      <c r="H33" s="4" t="inlineStr">
        <is>
          <t>Food</t>
        </is>
      </c>
      <c r="I33" s="4" t="inlineStr">
        <is>
          <t>Uscita</t>
        </is>
      </c>
      <c r="J33" s="4" t="inlineStr">
        <is>
          <t>SI</t>
        </is>
      </c>
      <c r="K33" s="4" t="inlineStr">
        <is>
          <t>Obbligatorio</t>
        </is>
      </c>
      <c r="L33" s="5" t="inlineStr"/>
    </row>
    <row r="34">
      <c r="A34" s="4" t="inlineStr">
        <is>
          <t>20.4.05</t>
        </is>
      </c>
      <c r="B34" s="4" t="inlineStr">
        <is>
          <t>COSTI</t>
        </is>
      </c>
      <c r="C34" s="4" t="inlineStr">
        <is>
          <t>20 - Materie prime, sussidiarie e merci</t>
        </is>
      </c>
      <c r="D34" s="4" t="inlineStr">
        <is>
          <t>20.4 - Food</t>
        </is>
      </c>
      <c r="E34" s="4" t="inlineStr">
        <is>
          <t>Snack e prodotti confezionati</t>
        </is>
      </c>
      <c r="F34" s="4" t="inlineStr">
        <is>
          <t>B</t>
        </is>
      </c>
      <c r="G34" s="4" t="inlineStr">
        <is>
          <t>B4</t>
        </is>
      </c>
      <c r="H34" s="4" t="inlineStr">
        <is>
          <t>Food</t>
        </is>
      </c>
      <c r="I34" s="4" t="inlineStr">
        <is>
          <t>Uscita</t>
        </is>
      </c>
      <c r="J34" s="4" t="inlineStr">
        <is>
          <t>SI</t>
        </is>
      </c>
      <c r="K34" s="4" t="inlineStr">
        <is>
          <t>Obbligatorio</t>
        </is>
      </c>
      <c r="L34" s="5" t="inlineStr"/>
    </row>
    <row r="35">
      <c r="A35" s="4" t="inlineStr">
        <is>
          <t>20.5.01</t>
        </is>
      </c>
      <c r="B35" s="4" t="inlineStr">
        <is>
          <t>COSTI</t>
        </is>
      </c>
      <c r="C35" s="4" t="inlineStr">
        <is>
          <t>20 - Materie prime, sussidiarie e merci</t>
        </is>
      </c>
      <c r="D35" s="4" t="inlineStr">
        <is>
          <t>20.5 - Consumabili di servizio</t>
        </is>
      </c>
      <c r="E35" s="4" t="inlineStr">
        <is>
          <t>Ghiaccio</t>
        </is>
      </c>
      <c r="F35" s="4" t="inlineStr">
        <is>
          <t>B</t>
        </is>
      </c>
      <c r="G35" s="4" t="inlineStr">
        <is>
          <t>B5</t>
        </is>
      </c>
      <c r="H35" s="4" t="inlineStr">
        <is>
          <t>Consumabili di servizio</t>
        </is>
      </c>
      <c r="I35" s="4" t="inlineStr">
        <is>
          <t>Uscita</t>
        </is>
      </c>
      <c r="J35" s="4" t="inlineStr">
        <is>
          <t>SI</t>
        </is>
      </c>
      <c r="K35" s="4" t="inlineStr">
        <is>
          <t>Obbligatorio</t>
        </is>
      </c>
      <c r="L35" s="5" t="inlineStr"/>
    </row>
    <row r="36">
      <c r="A36" s="4" t="inlineStr">
        <is>
          <t>20.5.02</t>
        </is>
      </c>
      <c r="B36" s="4" t="inlineStr">
        <is>
          <t>COSTI</t>
        </is>
      </c>
      <c r="C36" s="4" t="inlineStr">
        <is>
          <t>20 - Materie prime, sussidiarie e merci</t>
        </is>
      </c>
      <c r="D36" s="4" t="inlineStr">
        <is>
          <t>20.5 - Consumabili di servizio</t>
        </is>
      </c>
      <c r="E36" s="4" t="inlineStr">
        <is>
          <t>Garnish e decorazioni</t>
        </is>
      </c>
      <c r="F36" s="4" t="inlineStr">
        <is>
          <t>B</t>
        </is>
      </c>
      <c r="G36" s="4" t="inlineStr">
        <is>
          <t>B5</t>
        </is>
      </c>
      <c r="H36" s="4" t="inlineStr">
        <is>
          <t>Consumabili di servizio</t>
        </is>
      </c>
      <c r="I36" s="4" t="inlineStr">
        <is>
          <t>Uscita</t>
        </is>
      </c>
      <c r="J36" s="4" t="inlineStr">
        <is>
          <t>SI</t>
        </is>
      </c>
      <c r="K36" s="4" t="inlineStr">
        <is>
          <t>Obbligatorio</t>
        </is>
      </c>
      <c r="L36" s="5" t="inlineStr"/>
    </row>
    <row r="37">
      <c r="A37" s="4" t="inlineStr">
        <is>
          <t>20.5.03</t>
        </is>
      </c>
      <c r="B37" s="4" t="inlineStr">
        <is>
          <t>COSTI</t>
        </is>
      </c>
      <c r="C37" s="4" t="inlineStr">
        <is>
          <t>20 - Materie prime, sussidiarie e merci</t>
        </is>
      </c>
      <c r="D37" s="4" t="inlineStr">
        <is>
          <t>20.5 - Consumabili di servizio</t>
        </is>
      </c>
      <c r="E37" s="4" t="inlineStr">
        <is>
          <t>Monouso, packaging e asporto</t>
        </is>
      </c>
      <c r="F37" s="4" t="inlineStr">
        <is>
          <t>B</t>
        </is>
      </c>
      <c r="G37" s="4" t="inlineStr">
        <is>
          <t>B5</t>
        </is>
      </c>
      <c r="H37" s="4" t="inlineStr">
        <is>
          <t>Consumabili di servizio</t>
        </is>
      </c>
      <c r="I37" s="4" t="inlineStr">
        <is>
          <t>Uscita</t>
        </is>
      </c>
      <c r="J37" s="4" t="inlineStr">
        <is>
          <t>SI</t>
        </is>
      </c>
      <c r="K37" s="4" t="inlineStr">
        <is>
          <t>Obbligatorio</t>
        </is>
      </c>
      <c r="L37" s="5" t="inlineStr"/>
    </row>
    <row r="38">
      <c r="A38" s="4" t="inlineStr">
        <is>
          <t>20.5.04</t>
        </is>
      </c>
      <c r="B38" s="4" t="inlineStr">
        <is>
          <t>COSTI</t>
        </is>
      </c>
      <c r="C38" s="4" t="inlineStr">
        <is>
          <t>20 - Materie prime, sussidiarie e merci</t>
        </is>
      </c>
      <c r="D38" s="4" t="inlineStr">
        <is>
          <t>20.5 - Consumabili di servizio</t>
        </is>
      </c>
      <c r="E38" s="4" t="inlineStr">
        <is>
          <t>Materiale igiene e pulizia</t>
        </is>
      </c>
      <c r="F38" s="4" t="inlineStr">
        <is>
          <t>B</t>
        </is>
      </c>
      <c r="G38" s="4" t="inlineStr">
        <is>
          <t>B5</t>
        </is>
      </c>
      <c r="H38" s="4" t="inlineStr">
        <is>
          <t>Consumabili di servizio</t>
        </is>
      </c>
      <c r="I38" s="4" t="inlineStr">
        <is>
          <t>Uscita</t>
        </is>
      </c>
      <c r="J38" s="4" t="inlineStr">
        <is>
          <t>SI</t>
        </is>
      </c>
      <c r="K38" s="4" t="inlineStr">
        <is>
          <t>Obbligatorio</t>
        </is>
      </c>
      <c r="L38" s="5" t="inlineStr"/>
    </row>
    <row r="39">
      <c r="A39" s="4" t="inlineStr">
        <is>
          <t>20.5.05</t>
        </is>
      </c>
      <c r="B39" s="4" t="inlineStr">
        <is>
          <t>COSTI</t>
        </is>
      </c>
      <c r="C39" s="4" t="inlineStr">
        <is>
          <t>20 - Materie prime, sussidiarie e merci</t>
        </is>
      </c>
      <c r="D39" s="4" t="inlineStr">
        <is>
          <t>20.5 - Consumabili di servizio</t>
        </is>
      </c>
      <c r="E39" s="4" t="inlineStr">
        <is>
          <t>Altri materiali di consumo</t>
        </is>
      </c>
      <c r="F39" s="4" t="inlineStr">
        <is>
          <t>B</t>
        </is>
      </c>
      <c r="G39" s="4" t="inlineStr">
        <is>
          <t>B5</t>
        </is>
      </c>
      <c r="H39" s="4" t="inlineStr">
        <is>
          <t>Consumabili di servizio</t>
        </is>
      </c>
      <c r="I39" s="4" t="inlineStr">
        <is>
          <t>Uscita</t>
        </is>
      </c>
      <c r="J39" s="4" t="inlineStr">
        <is>
          <t>SI</t>
        </is>
      </c>
      <c r="K39" s="4" t="inlineStr">
        <is>
          <t>Obbligatorio</t>
        </is>
      </c>
      <c r="L39" s="5" t="inlineStr"/>
    </row>
    <row r="40">
      <c r="A40" s="4" t="inlineStr">
        <is>
          <t>20.6.01</t>
        </is>
      </c>
      <c r="B40" s="4" t="inlineStr">
        <is>
          <t>COSTI</t>
        </is>
      </c>
      <c r="C40" s="4" t="inlineStr">
        <is>
          <t>20 - Materie prime, sussidiarie e merci</t>
        </is>
      </c>
      <c r="D40" s="4" t="inlineStr">
        <is>
          <t>20.6 - Rettifiche e variazioni</t>
        </is>
      </c>
      <c r="E40" s="4" t="inlineStr">
        <is>
          <t>Resi, sconti e premi su acquisti</t>
        </is>
      </c>
      <c r="F40" s="4" t="inlineStr">
        <is>
          <t>B</t>
        </is>
      </c>
      <c r="G40" s="4" t="inlineStr">
        <is>
          <t>B6</t>
        </is>
      </c>
      <c r="H40" s="4" t="inlineStr">
        <is>
          <t>Rettifiche su acquisti</t>
        </is>
      </c>
      <c r="I40" s="4" t="inlineStr">
        <is>
          <t>Rettifica</t>
        </is>
      </c>
      <c r="J40" s="4" t="inlineStr">
        <is>
          <t>SI</t>
        </is>
      </c>
      <c r="K40" s="4" t="inlineStr">
        <is>
          <t>Obbligatorio</t>
        </is>
      </c>
      <c r="L40" s="5" t="inlineStr">
        <is>
          <t>Segno negativo: rettifica dei costi</t>
        </is>
      </c>
    </row>
    <row r="41">
      <c r="A41" s="6" t="inlineStr">
        <is>
          <t>20.6.02</t>
        </is>
      </c>
      <c r="B41" s="6" t="inlineStr">
        <is>
          <t>COSTI</t>
        </is>
      </c>
      <c r="C41" s="6" t="inlineStr">
        <is>
          <t>20 - Materie prime, sussidiarie e merci</t>
        </is>
      </c>
      <c r="D41" s="6" t="inlineStr">
        <is>
          <t>20.6 - Rettifiche e variazioni</t>
        </is>
      </c>
      <c r="E41" s="6" t="inlineStr">
        <is>
          <t>Rimanenze iniziali</t>
        </is>
      </c>
      <c r="F41" s="6" t="inlineStr"/>
      <c r="G41" s="6" t="inlineStr"/>
      <c r="H41" s="6" t="inlineStr"/>
      <c r="I41" s="6" t="inlineStr">
        <is>
          <t>-</t>
        </is>
      </c>
      <c r="J41" s="6" t="inlineStr">
        <is>
          <t>NO</t>
        </is>
      </c>
      <c r="K41" s="6" t="inlineStr">
        <is>
          <t>Obbligatorio</t>
        </is>
      </c>
      <c r="L41" s="7" t="inlineStr">
        <is>
          <t>Fuori cash flow: Variazione di magazzino</t>
        </is>
      </c>
    </row>
    <row r="42">
      <c r="A42" s="6" t="inlineStr">
        <is>
          <t>20.6.03</t>
        </is>
      </c>
      <c r="B42" s="6" t="inlineStr">
        <is>
          <t>COSTI</t>
        </is>
      </c>
      <c r="C42" s="6" t="inlineStr">
        <is>
          <t>20 - Materie prime, sussidiarie e merci</t>
        </is>
      </c>
      <c r="D42" s="6" t="inlineStr">
        <is>
          <t>20.6 - Rettifiche e variazioni</t>
        </is>
      </c>
      <c r="E42" s="6" t="inlineStr">
        <is>
          <t>Rimanenze finali</t>
        </is>
      </c>
      <c r="F42" s="6" t="inlineStr"/>
      <c r="G42" s="6" t="inlineStr"/>
      <c r="H42" s="6" t="inlineStr"/>
      <c r="I42" s="6" t="inlineStr">
        <is>
          <t>-</t>
        </is>
      </c>
      <c r="J42" s="6" t="inlineStr">
        <is>
          <t>NO</t>
        </is>
      </c>
      <c r="K42" s="6" t="inlineStr">
        <is>
          <t>Obbligatorio</t>
        </is>
      </c>
      <c r="L42" s="7" t="inlineStr">
        <is>
          <t>Segno negativo: riduce il consumo | Fuori cash flow: Variazione di magazzino</t>
        </is>
      </c>
    </row>
    <row r="43">
      <c r="A43" s="6" t="inlineStr">
        <is>
          <t>20.6.04</t>
        </is>
      </c>
      <c r="B43" s="6" t="inlineStr">
        <is>
          <t>COSTI</t>
        </is>
      </c>
      <c r="C43" s="6" t="inlineStr">
        <is>
          <t>20 - Materie prime, sussidiarie e merci</t>
        </is>
      </c>
      <c r="D43" s="6" t="inlineStr">
        <is>
          <t>20.6 - Rettifiche e variazioni</t>
        </is>
      </c>
      <c r="E43" s="6" t="inlineStr">
        <is>
          <t>Ammanchi, rotture e cali</t>
        </is>
      </c>
      <c r="F43" s="6" t="inlineStr"/>
      <c r="G43" s="6" t="inlineStr"/>
      <c r="H43" s="6" t="inlineStr"/>
      <c r="I43" s="6" t="inlineStr">
        <is>
          <t>-</t>
        </is>
      </c>
      <c r="J43" s="6" t="inlineStr">
        <is>
          <t>NO</t>
        </is>
      </c>
      <c r="K43" s="6" t="inlineStr">
        <is>
          <t>Obbligatorio</t>
        </is>
      </c>
      <c r="L43" s="7" t="inlineStr">
        <is>
          <t>Fuori cash flow: Riclassifica di valore, nessun esborso</t>
        </is>
      </c>
    </row>
    <row r="44">
      <c r="A44" s="6" t="inlineStr">
        <is>
          <t>20.6.05</t>
        </is>
      </c>
      <c r="B44" s="6" t="inlineStr">
        <is>
          <t>COSTI</t>
        </is>
      </c>
      <c r="C44" s="6" t="inlineStr">
        <is>
          <t>20 - Materie prime, sussidiarie e merci</t>
        </is>
      </c>
      <c r="D44" s="6" t="inlineStr">
        <is>
          <t>20.6 - Rettifiche e variazioni</t>
        </is>
      </c>
      <c r="E44" s="6" t="inlineStr">
        <is>
          <t>Omaggi, autoconsumo e staff meal</t>
        </is>
      </c>
      <c r="F44" s="6" t="inlineStr"/>
      <c r="G44" s="6" t="inlineStr"/>
      <c r="H44" s="6" t="inlineStr"/>
      <c r="I44" s="6" t="inlineStr">
        <is>
          <t>-</t>
        </is>
      </c>
      <c r="J44" s="6" t="inlineStr">
        <is>
          <t>NO</t>
        </is>
      </c>
      <c r="K44" s="6" t="inlineStr">
        <is>
          <t>Obbligatorio</t>
        </is>
      </c>
      <c r="L44" s="7" t="inlineStr">
        <is>
          <t>Fuori cash flow: Riclassifica di valore, nessun esborso</t>
        </is>
      </c>
    </row>
    <row r="45">
      <c r="A45" s="4" t="inlineStr">
        <is>
          <t>21.01</t>
        </is>
      </c>
      <c r="B45" s="4" t="inlineStr">
        <is>
          <t>COSTI</t>
        </is>
      </c>
      <c r="C45" s="4" t="inlineStr">
        <is>
          <t>21 - Attrezzatura e beni strumentali minuti</t>
        </is>
      </c>
      <c r="D45" s="4" t="inlineStr"/>
      <c r="E45" s="4" t="inlineStr">
        <is>
          <t>Vetreria e attrezzatura bar</t>
        </is>
      </c>
      <c r="F45" s="4" t="inlineStr">
        <is>
          <t>E</t>
        </is>
      </c>
      <c r="G45" s="4" t="inlineStr">
        <is>
          <t>E5</t>
        </is>
      </c>
      <c r="H45" s="4" t="inlineStr">
        <is>
          <t>Attrezzatura e allestimenti</t>
        </is>
      </c>
      <c r="I45" s="4" t="inlineStr">
        <is>
          <t>Uscita</t>
        </is>
      </c>
      <c r="J45" s="4" t="inlineStr">
        <is>
          <t>SI</t>
        </is>
      </c>
      <c r="K45" s="4" t="inlineStr">
        <is>
          <t>Obbligatorio</t>
        </is>
      </c>
      <c r="L45" s="5" t="inlineStr"/>
    </row>
    <row r="46">
      <c r="A46" s="4" t="inlineStr">
        <is>
          <t>21.02</t>
        </is>
      </c>
      <c r="B46" s="4" t="inlineStr">
        <is>
          <t>COSTI</t>
        </is>
      </c>
      <c r="C46" s="4" t="inlineStr">
        <is>
          <t>21 - Attrezzatura e beni strumentali minuti</t>
        </is>
      </c>
      <c r="D46" s="4" t="inlineStr"/>
      <c r="E46" s="4" t="inlineStr">
        <is>
          <t>Stoviglie, posateria e complementi sala</t>
        </is>
      </c>
      <c r="F46" s="4" t="inlineStr">
        <is>
          <t>E</t>
        </is>
      </c>
      <c r="G46" s="4" t="inlineStr">
        <is>
          <t>E5</t>
        </is>
      </c>
      <c r="H46" s="4" t="inlineStr">
        <is>
          <t>Attrezzatura e allestimenti</t>
        </is>
      </c>
      <c r="I46" s="4" t="inlineStr">
        <is>
          <t>Uscita</t>
        </is>
      </c>
      <c r="J46" s="4" t="inlineStr">
        <is>
          <t>SI</t>
        </is>
      </c>
      <c r="K46" s="4" t="inlineStr">
        <is>
          <t>Obbligatorio</t>
        </is>
      </c>
      <c r="L46" s="5" t="inlineStr"/>
    </row>
    <row r="47">
      <c r="A47" s="4" t="inlineStr">
        <is>
          <t>21.03</t>
        </is>
      </c>
      <c r="B47" s="4" t="inlineStr">
        <is>
          <t>COSTI</t>
        </is>
      </c>
      <c r="C47" s="4" t="inlineStr">
        <is>
          <t>21 - Attrezzatura e beni strumentali minuti</t>
        </is>
      </c>
      <c r="D47" s="4" t="inlineStr"/>
      <c r="E47" s="4" t="inlineStr">
        <is>
          <t>Piccola attrezzatura cucina</t>
        </is>
      </c>
      <c r="F47" s="4" t="inlineStr">
        <is>
          <t>E</t>
        </is>
      </c>
      <c r="G47" s="4" t="inlineStr">
        <is>
          <t>E5</t>
        </is>
      </c>
      <c r="H47" s="4" t="inlineStr">
        <is>
          <t>Attrezzatura e allestimenti</t>
        </is>
      </c>
      <c r="I47" s="4" t="inlineStr">
        <is>
          <t>Uscita</t>
        </is>
      </c>
      <c r="J47" s="4" t="inlineStr">
        <is>
          <t>SI</t>
        </is>
      </c>
      <c r="K47" s="4" t="inlineStr">
        <is>
          <t>Obbligatorio</t>
        </is>
      </c>
      <c r="L47" s="5" t="inlineStr"/>
    </row>
    <row r="48">
      <c r="A48" s="4" t="inlineStr">
        <is>
          <t>21.04</t>
        </is>
      </c>
      <c r="B48" s="4" t="inlineStr">
        <is>
          <t>COSTI</t>
        </is>
      </c>
      <c r="C48" s="4" t="inlineStr">
        <is>
          <t>21 - Attrezzatura e beni strumentali minuti</t>
        </is>
      </c>
      <c r="D48" s="4" t="inlineStr"/>
      <c r="E48" s="4" t="inlineStr">
        <is>
          <t>Beni strumentali &lt; 516,46 EUR</t>
        </is>
      </c>
      <c r="F48" s="4" t="inlineStr">
        <is>
          <t>E</t>
        </is>
      </c>
      <c r="G48" s="4" t="inlineStr">
        <is>
          <t>E5</t>
        </is>
      </c>
      <c r="H48" s="4" t="inlineStr">
        <is>
          <t>Attrezzatura e allestimenti</t>
        </is>
      </c>
      <c r="I48" s="4" t="inlineStr">
        <is>
          <t>Uscita</t>
        </is>
      </c>
      <c r="J48" s="4" t="inlineStr">
        <is>
          <t>SI</t>
        </is>
      </c>
      <c r="K48" s="4" t="inlineStr">
        <is>
          <t>Obbligatorio</t>
        </is>
      </c>
      <c r="L48" s="5" t="inlineStr">
        <is>
          <t>Deducibili al 100% nell'esercizio</t>
        </is>
      </c>
    </row>
    <row r="49">
      <c r="A49" s="4" t="inlineStr">
        <is>
          <t>21.05</t>
        </is>
      </c>
      <c r="B49" s="4" t="inlineStr">
        <is>
          <t>COSTI</t>
        </is>
      </c>
      <c r="C49" s="4" t="inlineStr">
        <is>
          <t>21 - Attrezzatura e beni strumentali minuti</t>
        </is>
      </c>
      <c r="D49" s="4" t="inlineStr"/>
      <c r="E49" s="4" t="inlineStr">
        <is>
          <t>Arredi e complementi minuti</t>
        </is>
      </c>
      <c r="F49" s="4" t="inlineStr">
        <is>
          <t>E</t>
        </is>
      </c>
      <c r="G49" s="4" t="inlineStr">
        <is>
          <t>E5</t>
        </is>
      </c>
      <c r="H49" s="4" t="inlineStr">
        <is>
          <t>Attrezzatura e allestimenti</t>
        </is>
      </c>
      <c r="I49" s="4" t="inlineStr">
        <is>
          <t>Uscita</t>
        </is>
      </c>
      <c r="J49" s="4" t="inlineStr">
        <is>
          <t>SI</t>
        </is>
      </c>
      <c r="K49" s="4" t="inlineStr">
        <is>
          <t>Obbligatorio</t>
        </is>
      </c>
      <c r="L49" s="5" t="inlineStr"/>
    </row>
    <row r="50">
      <c r="A50" s="4" t="inlineStr">
        <is>
          <t>21.06</t>
        </is>
      </c>
      <c r="B50" s="4" t="inlineStr">
        <is>
          <t>COSTI</t>
        </is>
      </c>
      <c r="C50" s="4" t="inlineStr">
        <is>
          <t>21 - Attrezzatura e beni strumentali minuti</t>
        </is>
      </c>
      <c r="D50" s="4" t="inlineStr"/>
      <c r="E50" s="4" t="inlineStr">
        <is>
          <t>Divise e abbigliamento personale</t>
        </is>
      </c>
      <c r="F50" s="4" t="inlineStr">
        <is>
          <t>E</t>
        </is>
      </c>
      <c r="G50" s="4" t="inlineStr">
        <is>
          <t>E5</t>
        </is>
      </c>
      <c r="H50" s="4" t="inlineStr">
        <is>
          <t>Attrezzatura e allestimenti</t>
        </is>
      </c>
      <c r="I50" s="4" t="inlineStr">
        <is>
          <t>Uscita</t>
        </is>
      </c>
      <c r="J50" s="4" t="inlineStr">
        <is>
          <t>SI</t>
        </is>
      </c>
      <c r="K50" s="4" t="inlineStr">
        <is>
          <t>Obbligatorio</t>
        </is>
      </c>
      <c r="L50" s="5" t="inlineStr"/>
    </row>
    <row r="51">
      <c r="A51" s="4" t="inlineStr">
        <is>
          <t>21.07</t>
        </is>
      </c>
      <c r="B51" s="4" t="inlineStr">
        <is>
          <t>COSTI</t>
        </is>
      </c>
      <c r="C51" s="4" t="inlineStr">
        <is>
          <t>21 - Attrezzatura e beni strumentali minuti</t>
        </is>
      </c>
      <c r="D51" s="4" t="inlineStr"/>
      <c r="E51" s="4" t="inlineStr">
        <is>
          <t>Allestimenti, fiori e decorazioni locale</t>
        </is>
      </c>
      <c r="F51" s="4" t="inlineStr">
        <is>
          <t>E</t>
        </is>
      </c>
      <c r="G51" s="4" t="inlineStr">
        <is>
          <t>E5</t>
        </is>
      </c>
      <c r="H51" s="4" t="inlineStr">
        <is>
          <t>Attrezzatura e allestimenti</t>
        </is>
      </c>
      <c r="I51" s="4" t="inlineStr">
        <is>
          <t>Uscita</t>
        </is>
      </c>
      <c r="J51" s="4" t="inlineStr">
        <is>
          <t>SI</t>
        </is>
      </c>
      <c r="K51" s="4" t="inlineStr">
        <is>
          <t>Obbligatorio</t>
        </is>
      </c>
      <c r="L51" s="5" t="inlineStr">
        <is>
          <t>Decorazioni ordinarie del locale (non evento)</t>
        </is>
      </c>
    </row>
    <row r="52">
      <c r="A52" s="4" t="inlineStr">
        <is>
          <t>22.01</t>
        </is>
      </c>
      <c r="B52" s="4" t="inlineStr">
        <is>
          <t>COSTI</t>
        </is>
      </c>
      <c r="C52" s="4" t="inlineStr">
        <is>
          <t>22 - Utenze</t>
        </is>
      </c>
      <c r="D52" s="4" t="inlineStr"/>
      <c r="E52" s="4" t="inlineStr">
        <is>
          <t>Energia elettrica</t>
        </is>
      </c>
      <c r="F52" s="4" t="inlineStr">
        <is>
          <t>E</t>
        </is>
      </c>
      <c r="G52" s="4" t="inlineStr">
        <is>
          <t>E2</t>
        </is>
      </c>
      <c r="H52" s="4" t="inlineStr">
        <is>
          <t>Utenze</t>
        </is>
      </c>
      <c r="I52" s="4" t="inlineStr">
        <is>
          <t>Uscita</t>
        </is>
      </c>
      <c r="J52" s="4" t="inlineStr">
        <is>
          <t>SI</t>
        </is>
      </c>
      <c r="K52" s="4" t="inlineStr">
        <is>
          <t>Obbligatorio</t>
        </is>
      </c>
      <c r="L52" s="5" t="inlineStr"/>
    </row>
    <row r="53">
      <c r="A53" s="4" t="inlineStr">
        <is>
          <t>22.02</t>
        </is>
      </c>
      <c r="B53" s="4" t="inlineStr">
        <is>
          <t>COSTI</t>
        </is>
      </c>
      <c r="C53" s="4" t="inlineStr">
        <is>
          <t>22 - Utenze</t>
        </is>
      </c>
      <c r="D53" s="4" t="inlineStr"/>
      <c r="E53" s="4" t="inlineStr">
        <is>
          <t>Gas da rete (metano)</t>
        </is>
      </c>
      <c r="F53" s="4" t="inlineStr">
        <is>
          <t>E</t>
        </is>
      </c>
      <c r="G53" s="4" t="inlineStr">
        <is>
          <t>E2</t>
        </is>
      </c>
      <c r="H53" s="4" t="inlineStr">
        <is>
          <t>Utenze</t>
        </is>
      </c>
      <c r="I53" s="4" t="inlineStr">
        <is>
          <t>Uscita</t>
        </is>
      </c>
      <c r="J53" s="4" t="inlineStr">
        <is>
          <t>SI</t>
        </is>
      </c>
      <c r="K53" s="4" t="inlineStr">
        <is>
          <t>Obbligatorio</t>
        </is>
      </c>
      <c r="L53" s="5" t="inlineStr">
        <is>
          <t>Fornitura da impianto/contatore; di fatto solo Villa Varda</t>
        </is>
      </c>
    </row>
    <row r="54">
      <c r="A54" s="4" t="inlineStr">
        <is>
          <t>22.03</t>
        </is>
      </c>
      <c r="B54" s="4" t="inlineStr">
        <is>
          <t>COSTI</t>
        </is>
      </c>
      <c r="C54" s="4" t="inlineStr">
        <is>
          <t>22 - Utenze</t>
        </is>
      </c>
      <c r="D54" s="4" t="inlineStr"/>
      <c r="E54" s="4" t="inlineStr">
        <is>
          <t>Acqua</t>
        </is>
      </c>
      <c r="F54" s="4" t="inlineStr">
        <is>
          <t>E</t>
        </is>
      </c>
      <c r="G54" s="4" t="inlineStr">
        <is>
          <t>E2</t>
        </is>
      </c>
      <c r="H54" s="4" t="inlineStr">
        <is>
          <t>Utenze</t>
        </is>
      </c>
      <c r="I54" s="4" t="inlineStr">
        <is>
          <t>Uscita</t>
        </is>
      </c>
      <c r="J54" s="4" t="inlineStr">
        <is>
          <t>SI</t>
        </is>
      </c>
      <c r="K54" s="4" t="inlineStr">
        <is>
          <t>Obbligatorio</t>
        </is>
      </c>
      <c r="L54" s="5" t="inlineStr"/>
    </row>
    <row r="55">
      <c r="A55" s="4" t="inlineStr">
        <is>
          <t>22.04</t>
        </is>
      </c>
      <c r="B55" s="4" t="inlineStr">
        <is>
          <t>COSTI</t>
        </is>
      </c>
      <c r="C55" s="4" t="inlineStr">
        <is>
          <t>22 - Utenze</t>
        </is>
      </c>
      <c r="D55" s="4" t="inlineStr"/>
      <c r="E55" s="4" t="inlineStr">
        <is>
          <t>Telefonia e connettività</t>
        </is>
      </c>
      <c r="F55" s="4" t="inlineStr">
        <is>
          <t>E</t>
        </is>
      </c>
      <c r="G55" s="4" t="inlineStr">
        <is>
          <t>E2</t>
        </is>
      </c>
      <c r="H55" s="4" t="inlineStr">
        <is>
          <t>Utenze</t>
        </is>
      </c>
      <c r="I55" s="4" t="inlineStr">
        <is>
          <t>Uscita</t>
        </is>
      </c>
      <c r="J55" s="4" t="inlineStr">
        <is>
          <t>SI</t>
        </is>
      </c>
      <c r="K55" s="4" t="inlineStr">
        <is>
          <t>Obbligatorio</t>
        </is>
      </c>
      <c r="L55" s="5" t="inlineStr"/>
    </row>
    <row r="56">
      <c r="A56" s="4" t="inlineStr">
        <is>
          <t>22.05</t>
        </is>
      </c>
      <c r="B56" s="4" t="inlineStr">
        <is>
          <t>COSTI</t>
        </is>
      </c>
      <c r="C56" s="4" t="inlineStr">
        <is>
          <t>22 - Utenze</t>
        </is>
      </c>
      <c r="D56" s="4" t="inlineStr"/>
      <c r="E56" s="4" t="inlineStr">
        <is>
          <t>Rifiuti - TARI e servizio smaltimento</t>
        </is>
      </c>
      <c r="F56" s="4" t="inlineStr">
        <is>
          <t>E</t>
        </is>
      </c>
      <c r="G56" s="4" t="inlineStr">
        <is>
          <t>E2</t>
        </is>
      </c>
      <c r="H56" s="4" t="inlineStr">
        <is>
          <t>Utenze</t>
        </is>
      </c>
      <c r="I56" s="4" t="inlineStr">
        <is>
          <t>Uscita</t>
        </is>
      </c>
      <c r="J56" s="4" t="inlineStr">
        <is>
          <t>SI</t>
        </is>
      </c>
      <c r="K56" s="4" t="inlineStr">
        <is>
          <t>Obbligatorio</t>
        </is>
      </c>
      <c r="L56" s="5" t="inlineStr"/>
    </row>
    <row r="57">
      <c r="A57" s="4" t="inlineStr">
        <is>
          <t>22.07</t>
        </is>
      </c>
      <c r="B57" s="4" t="inlineStr">
        <is>
          <t>COSTI</t>
        </is>
      </c>
      <c r="C57" s="4" t="inlineStr">
        <is>
          <t>22 - Utenze</t>
        </is>
      </c>
      <c r="D57" s="4" t="inlineStr"/>
      <c r="E57" s="4" t="inlineStr">
        <is>
          <t>Bombole di gas (GPL)</t>
        </is>
      </c>
      <c r="F57" s="4" t="inlineStr">
        <is>
          <t>E</t>
        </is>
      </c>
      <c r="G57" s="4" t="inlineStr">
        <is>
          <t>E2</t>
        </is>
      </c>
      <c r="H57" s="4" t="inlineStr">
        <is>
          <t>Utenze</t>
        </is>
      </c>
      <c r="I57" s="4" t="inlineStr">
        <is>
          <t>Uscita</t>
        </is>
      </c>
      <c r="J57" s="4" t="inlineStr">
        <is>
          <t>SI</t>
        </is>
      </c>
      <c r="K57" s="4" t="inlineStr">
        <is>
          <t>Obbligatorio</t>
        </is>
      </c>
      <c r="L57" s="5" t="inlineStr">
        <is>
          <t>Acquisto ricariche; di fatto solo Casetta</t>
        </is>
      </c>
    </row>
    <row r="58">
      <c r="A58" s="4" t="inlineStr">
        <is>
          <t>23.01</t>
        </is>
      </c>
      <c r="B58" s="4" t="inlineStr">
        <is>
          <t>COSTI</t>
        </is>
      </c>
      <c r="C58" s="4" t="inlineStr">
        <is>
          <t>23 - Servizi operativi</t>
        </is>
      </c>
      <c r="D58" s="4" t="inlineStr"/>
      <c r="E58" s="4" t="inlineStr">
        <is>
          <t>Manutenzioni e riparazioni</t>
        </is>
      </c>
      <c r="F58" s="4" t="inlineStr">
        <is>
          <t>E</t>
        </is>
      </c>
      <c r="G58" s="4" t="inlineStr">
        <is>
          <t>E4</t>
        </is>
      </c>
      <c r="H58" s="4" t="inlineStr">
        <is>
          <t>Manutenzioni e servizi operativi</t>
        </is>
      </c>
      <c r="I58" s="4" t="inlineStr">
        <is>
          <t>Uscita</t>
        </is>
      </c>
      <c r="J58" s="4" t="inlineStr">
        <is>
          <t>SI</t>
        </is>
      </c>
      <c r="K58" s="4" t="inlineStr">
        <is>
          <t>Obbligatorio</t>
        </is>
      </c>
      <c r="L58" s="5" t="inlineStr"/>
    </row>
    <row r="59">
      <c r="A59" s="4" t="inlineStr">
        <is>
          <t>23.02</t>
        </is>
      </c>
      <c r="B59" s="4" t="inlineStr">
        <is>
          <t>COSTI</t>
        </is>
      </c>
      <c r="C59" s="4" t="inlineStr">
        <is>
          <t>23 - Servizi operativi</t>
        </is>
      </c>
      <c r="D59" s="4" t="inlineStr"/>
      <c r="E59" s="4" t="inlineStr">
        <is>
          <t>Contratti di manutenzione a canone</t>
        </is>
      </c>
      <c r="F59" s="4" t="inlineStr">
        <is>
          <t>E</t>
        </is>
      </c>
      <c r="G59" s="4" t="inlineStr">
        <is>
          <t>E4</t>
        </is>
      </c>
      <c r="H59" s="4" t="inlineStr">
        <is>
          <t>Manutenzioni e servizi operativi</t>
        </is>
      </c>
      <c r="I59" s="4" t="inlineStr">
        <is>
          <t>Uscita</t>
        </is>
      </c>
      <c r="J59" s="4" t="inlineStr">
        <is>
          <t>SI</t>
        </is>
      </c>
      <c r="K59" s="4" t="inlineStr">
        <is>
          <t>Obbligatorio</t>
        </is>
      </c>
      <c r="L59" s="5" t="inlineStr"/>
    </row>
    <row r="60">
      <c r="A60" s="4" t="inlineStr">
        <is>
          <t>23.03</t>
        </is>
      </c>
      <c r="B60" s="4" t="inlineStr">
        <is>
          <t>COSTI</t>
        </is>
      </c>
      <c r="C60" s="4" t="inlineStr">
        <is>
          <t>23 - Servizi operativi</t>
        </is>
      </c>
      <c r="D60" s="4" t="inlineStr"/>
      <c r="E60" s="4" t="inlineStr">
        <is>
          <t>Servizi di pulizia esterni</t>
        </is>
      </c>
      <c r="F60" s="4" t="inlineStr">
        <is>
          <t>E</t>
        </is>
      </c>
      <c r="G60" s="4" t="inlineStr">
        <is>
          <t>E4</t>
        </is>
      </c>
      <c r="H60" s="4" t="inlineStr">
        <is>
          <t>Manutenzioni e servizi operativi</t>
        </is>
      </c>
      <c r="I60" s="4" t="inlineStr">
        <is>
          <t>Uscita</t>
        </is>
      </c>
      <c r="J60" s="4" t="inlineStr">
        <is>
          <t>SI</t>
        </is>
      </c>
      <c r="K60" s="4" t="inlineStr">
        <is>
          <t>Obbligatorio</t>
        </is>
      </c>
      <c r="L60" s="5" t="inlineStr"/>
    </row>
    <row r="61">
      <c r="A61" s="4" t="inlineStr">
        <is>
          <t>23.05</t>
        </is>
      </c>
      <c r="B61" s="4" t="inlineStr">
        <is>
          <t>COSTI</t>
        </is>
      </c>
      <c r="C61" s="4" t="inlineStr">
        <is>
          <t>23 - Servizi operativi</t>
        </is>
      </c>
      <c r="D61" s="4" t="inlineStr"/>
      <c r="E61" s="4" t="inlineStr">
        <is>
          <t>Vigilanza e servizi di sicurezza</t>
        </is>
      </c>
      <c r="F61" s="4" t="inlineStr">
        <is>
          <t>E</t>
        </is>
      </c>
      <c r="G61" s="4" t="inlineStr">
        <is>
          <t>E4</t>
        </is>
      </c>
      <c r="H61" s="4" t="inlineStr">
        <is>
          <t>Manutenzioni e servizi operativi</t>
        </is>
      </c>
      <c r="I61" s="4" t="inlineStr">
        <is>
          <t>Uscita</t>
        </is>
      </c>
      <c r="J61" s="4" t="inlineStr">
        <is>
          <t>SI</t>
        </is>
      </c>
      <c r="K61" s="4" t="inlineStr">
        <is>
          <t>Obbligatorio</t>
        </is>
      </c>
      <c r="L61" s="5" t="inlineStr"/>
    </row>
    <row r="62">
      <c r="A62" s="4" t="inlineStr">
        <is>
          <t>23.07</t>
        </is>
      </c>
      <c r="B62" s="4" t="inlineStr">
        <is>
          <t>COSTI</t>
        </is>
      </c>
      <c r="C62" s="4" t="inlineStr">
        <is>
          <t>23 - Servizi operativi</t>
        </is>
      </c>
      <c r="D62" s="4" t="inlineStr"/>
      <c r="E62" s="4" t="inlineStr">
        <is>
          <t>Disinfestazione e derattizzazione</t>
        </is>
      </c>
      <c r="F62" s="4" t="inlineStr">
        <is>
          <t>E</t>
        </is>
      </c>
      <c r="G62" s="4" t="inlineStr">
        <is>
          <t>E4</t>
        </is>
      </c>
      <c r="H62" s="4" t="inlineStr">
        <is>
          <t>Manutenzioni e servizi operativi</t>
        </is>
      </c>
      <c r="I62" s="4" t="inlineStr">
        <is>
          <t>Uscita</t>
        </is>
      </c>
      <c r="J62" s="4" t="inlineStr">
        <is>
          <t>SI</t>
        </is>
      </c>
      <c r="K62" s="4" t="inlineStr">
        <is>
          <t>Obbligatorio</t>
        </is>
      </c>
      <c r="L62" s="5" t="inlineStr"/>
    </row>
    <row r="63">
      <c r="A63" s="4" t="inlineStr">
        <is>
          <t>24.01</t>
        </is>
      </c>
      <c r="B63" s="4" t="inlineStr">
        <is>
          <t>COSTI</t>
        </is>
      </c>
      <c r="C63" s="4" t="inlineStr">
        <is>
          <t>24 - Servizi professionali e amministrativi</t>
        </is>
      </c>
      <c r="D63" s="4" t="inlineStr"/>
      <c r="E63" s="4" t="inlineStr">
        <is>
          <t>Consulenza contabile, fiscale e dichiarazioni</t>
        </is>
      </c>
      <c r="F63" s="4" t="inlineStr">
        <is>
          <t>E</t>
        </is>
      </c>
      <c r="G63" s="4" t="inlineStr">
        <is>
          <t>E6</t>
        </is>
      </c>
      <c r="H63" s="4" t="inlineStr">
        <is>
          <t>Servizi professionali e amministrativi</t>
        </is>
      </c>
      <c r="I63" s="4" t="inlineStr">
        <is>
          <t>Uscita</t>
        </is>
      </c>
      <c r="J63" s="4" t="inlineStr">
        <is>
          <t>SI</t>
        </is>
      </c>
      <c r="K63" s="4" t="inlineStr">
        <is>
          <t>Default STR</t>
        </is>
      </c>
      <c r="L63" s="5" t="inlineStr"/>
    </row>
    <row r="64">
      <c r="A64" s="4" t="inlineStr">
        <is>
          <t>24.02</t>
        </is>
      </c>
      <c r="B64" s="4" t="inlineStr">
        <is>
          <t>COSTI</t>
        </is>
      </c>
      <c r="C64" s="4" t="inlineStr">
        <is>
          <t>24 - Servizi professionali e amministrativi</t>
        </is>
      </c>
      <c r="D64" s="4" t="inlineStr"/>
      <c r="E64" s="4" t="inlineStr">
        <is>
          <t>Servizi elaborazione paghe</t>
        </is>
      </c>
      <c r="F64" s="4" t="inlineStr">
        <is>
          <t>E</t>
        </is>
      </c>
      <c r="G64" s="4" t="inlineStr">
        <is>
          <t>E6</t>
        </is>
      </c>
      <c r="H64" s="4" t="inlineStr">
        <is>
          <t>Servizi professionali e amministrativi</t>
        </is>
      </c>
      <c r="I64" s="4" t="inlineStr">
        <is>
          <t>Uscita</t>
        </is>
      </c>
      <c r="J64" s="4" t="inlineStr">
        <is>
          <t>SI</t>
        </is>
      </c>
      <c r="K64" s="4" t="inlineStr">
        <is>
          <t>Default STR</t>
        </is>
      </c>
      <c r="L64" s="5" t="inlineStr"/>
    </row>
    <row r="65">
      <c r="A65" s="4" t="inlineStr">
        <is>
          <t>24.03</t>
        </is>
      </c>
      <c r="B65" s="4" t="inlineStr">
        <is>
          <t>COSTI</t>
        </is>
      </c>
      <c r="C65" s="4" t="inlineStr">
        <is>
          <t>24 - Servizi professionali e amministrativi</t>
        </is>
      </c>
      <c r="D65" s="4" t="inlineStr"/>
      <c r="E65" s="4" t="inlineStr">
        <is>
          <t>Consulenze legali</t>
        </is>
      </c>
      <c r="F65" s="4" t="inlineStr">
        <is>
          <t>E</t>
        </is>
      </c>
      <c r="G65" s="4" t="inlineStr">
        <is>
          <t>E6</t>
        </is>
      </c>
      <c r="H65" s="4" t="inlineStr">
        <is>
          <t>Servizi professionali e amministrativi</t>
        </is>
      </c>
      <c r="I65" s="4" t="inlineStr">
        <is>
          <t>Uscita</t>
        </is>
      </c>
      <c r="J65" s="4" t="inlineStr">
        <is>
          <t>SI</t>
        </is>
      </c>
      <c r="K65" s="4" t="inlineStr">
        <is>
          <t>Default STR</t>
        </is>
      </c>
      <c r="L65" s="5" t="inlineStr"/>
    </row>
    <row r="66">
      <c r="A66" s="4" t="inlineStr">
        <is>
          <t>24.04</t>
        </is>
      </c>
      <c r="B66" s="4" t="inlineStr">
        <is>
          <t>COSTI</t>
        </is>
      </c>
      <c r="C66" s="4" t="inlineStr">
        <is>
          <t>24 - Servizi professionali e amministrativi</t>
        </is>
      </c>
      <c r="D66" s="4" t="inlineStr"/>
      <c r="E66" s="4" t="inlineStr">
        <is>
          <t>Consulenze tecniche e progettazione</t>
        </is>
      </c>
      <c r="F66" s="4" t="inlineStr">
        <is>
          <t>E</t>
        </is>
      </c>
      <c r="G66" s="4" t="inlineStr">
        <is>
          <t>E6</t>
        </is>
      </c>
      <c r="H66" s="4" t="inlineStr">
        <is>
          <t>Servizi professionali e amministrativi</t>
        </is>
      </c>
      <c r="I66" s="4" t="inlineStr">
        <is>
          <t>Uscita</t>
        </is>
      </c>
      <c r="J66" s="4" t="inlineStr">
        <is>
          <t>SI</t>
        </is>
      </c>
      <c r="K66" s="4" t="inlineStr">
        <is>
          <t>Default STR</t>
        </is>
      </c>
      <c r="L66" s="5" t="inlineStr"/>
    </row>
    <row r="67">
      <c r="A67" s="4" t="inlineStr">
        <is>
          <t>24.05</t>
        </is>
      </c>
      <c r="B67" s="4" t="inlineStr">
        <is>
          <t>COSTI</t>
        </is>
      </c>
      <c r="C67" s="4" t="inlineStr">
        <is>
          <t>24 - Servizi professionali e amministrativi</t>
        </is>
      </c>
      <c r="D67" s="4" t="inlineStr"/>
      <c r="E67" s="4" t="inlineStr">
        <is>
          <t>Consulenza del lavoro e sicurezza (D.Lgs. 81/08)</t>
        </is>
      </c>
      <c r="F67" s="4" t="inlineStr">
        <is>
          <t>E</t>
        </is>
      </c>
      <c r="G67" s="4" t="inlineStr">
        <is>
          <t>E6</t>
        </is>
      </c>
      <c r="H67" s="4" t="inlineStr">
        <is>
          <t>Servizi professionali e amministrativi</t>
        </is>
      </c>
      <c r="I67" s="4" t="inlineStr">
        <is>
          <t>Uscita</t>
        </is>
      </c>
      <c r="J67" s="4" t="inlineStr">
        <is>
          <t>SI</t>
        </is>
      </c>
      <c r="K67" s="4" t="inlineStr">
        <is>
          <t>Default STR</t>
        </is>
      </c>
      <c r="L67" s="5" t="inlineStr"/>
    </row>
    <row r="68">
      <c r="A68" s="4" t="inlineStr">
        <is>
          <t>24.06</t>
        </is>
      </c>
      <c r="B68" s="4" t="inlineStr">
        <is>
          <t>COSTI</t>
        </is>
      </c>
      <c r="C68" s="4" t="inlineStr">
        <is>
          <t>24 - Servizi professionali e amministrativi</t>
        </is>
      </c>
      <c r="D68" s="4" t="inlineStr"/>
      <c r="E68" s="4" t="inlineStr">
        <is>
          <t>Medico competente e sorveglianza sanitaria</t>
        </is>
      </c>
      <c r="F68" s="4" t="inlineStr">
        <is>
          <t>E</t>
        </is>
      </c>
      <c r="G68" s="4" t="inlineStr">
        <is>
          <t>E6</t>
        </is>
      </c>
      <c r="H68" s="4" t="inlineStr">
        <is>
          <t>Servizi professionali e amministrativi</t>
        </is>
      </c>
      <c r="I68" s="4" t="inlineStr">
        <is>
          <t>Uscita</t>
        </is>
      </c>
      <c r="J68" s="4" t="inlineStr">
        <is>
          <t>SI</t>
        </is>
      </c>
      <c r="K68" s="4" t="inlineStr">
        <is>
          <t>Default STR</t>
        </is>
      </c>
      <c r="L68" s="5" t="inlineStr"/>
    </row>
    <row r="69">
      <c r="A69" s="4" t="inlineStr">
        <is>
          <t>24.07</t>
        </is>
      </c>
      <c r="B69" s="4" t="inlineStr">
        <is>
          <t>COSTI</t>
        </is>
      </c>
      <c r="C69" s="4" t="inlineStr">
        <is>
          <t>24 - Servizi professionali e amministrativi</t>
        </is>
      </c>
      <c r="D69" s="4" t="inlineStr"/>
      <c r="E69" s="4" t="inlineStr">
        <is>
          <t>Formazione, HACCP e certificazioni</t>
        </is>
      </c>
      <c r="F69" s="4" t="inlineStr">
        <is>
          <t>E</t>
        </is>
      </c>
      <c r="G69" s="4" t="inlineStr">
        <is>
          <t>E6</t>
        </is>
      </c>
      <c r="H69" s="4" t="inlineStr">
        <is>
          <t>Servizi professionali e amministrativi</t>
        </is>
      </c>
      <c r="I69" s="4" t="inlineStr">
        <is>
          <t>Uscita</t>
        </is>
      </c>
      <c r="J69" s="4" t="inlineStr">
        <is>
          <t>SI</t>
        </is>
      </c>
      <c r="K69" s="4" t="inlineStr">
        <is>
          <t>Default STR</t>
        </is>
      </c>
      <c r="L69" s="5" t="inlineStr"/>
    </row>
    <row r="70">
      <c r="A70" s="4" t="inlineStr">
        <is>
          <t>24.08</t>
        </is>
      </c>
      <c r="B70" s="4" t="inlineStr">
        <is>
          <t>COSTI</t>
        </is>
      </c>
      <c r="C70" s="4" t="inlineStr">
        <is>
          <t>24 - Servizi professionali e amministrativi</t>
        </is>
      </c>
      <c r="D70" s="4" t="inlineStr"/>
      <c r="E70" s="4" t="inlineStr">
        <is>
          <t>Spese notarili e camerali</t>
        </is>
      </c>
      <c r="F70" s="4" t="inlineStr">
        <is>
          <t>E</t>
        </is>
      </c>
      <c r="G70" s="4" t="inlineStr">
        <is>
          <t>E6</t>
        </is>
      </c>
      <c r="H70" s="4" t="inlineStr">
        <is>
          <t>Servizi professionali e amministrativi</t>
        </is>
      </c>
      <c r="I70" s="4" t="inlineStr">
        <is>
          <t>Uscita</t>
        </is>
      </c>
      <c r="J70" s="4" t="inlineStr">
        <is>
          <t>SI</t>
        </is>
      </c>
      <c r="K70" s="4" t="inlineStr">
        <is>
          <t>Default STR</t>
        </is>
      </c>
      <c r="L70" s="5" t="inlineStr"/>
    </row>
    <row r="71">
      <c r="A71" s="4" t="inlineStr">
        <is>
          <t>24.09</t>
        </is>
      </c>
      <c r="B71" s="4" t="inlineStr">
        <is>
          <t>COSTI</t>
        </is>
      </c>
      <c r="C71" s="4" t="inlineStr">
        <is>
          <t>24 - Servizi professionali e amministrativi</t>
        </is>
      </c>
      <c r="D71" s="4" t="inlineStr"/>
      <c r="E71" s="4" t="inlineStr">
        <is>
          <t>Cancelleria e stampati</t>
        </is>
      </c>
      <c r="F71" s="4" t="inlineStr">
        <is>
          <t>E</t>
        </is>
      </c>
      <c r="G71" s="4" t="inlineStr">
        <is>
          <t>E6</t>
        </is>
      </c>
      <c r="H71" s="4" t="inlineStr">
        <is>
          <t>Servizi professionali e amministrativi</t>
        </is>
      </c>
      <c r="I71" s="4" t="inlineStr">
        <is>
          <t>Uscita</t>
        </is>
      </c>
      <c r="J71" s="4" t="inlineStr">
        <is>
          <t>SI</t>
        </is>
      </c>
      <c r="K71" s="4" t="inlineStr">
        <is>
          <t>Default STR</t>
        </is>
      </c>
      <c r="L71" s="5" t="inlineStr"/>
    </row>
    <row r="72">
      <c r="A72" s="4" t="inlineStr">
        <is>
          <t>25.01</t>
        </is>
      </c>
      <c r="B72" s="4" t="inlineStr">
        <is>
          <t>COSTI</t>
        </is>
      </c>
      <c r="C72" s="4" t="inlineStr">
        <is>
          <t>25 - Marketing e comunicazione</t>
        </is>
      </c>
      <c r="D72" s="4" t="inlineStr"/>
      <c r="E72" s="4" t="inlineStr">
        <is>
          <t>Advertising online e sponsorizzate</t>
        </is>
      </c>
      <c r="F72" s="4" t="inlineStr">
        <is>
          <t>E</t>
        </is>
      </c>
      <c r="G72" s="4" t="inlineStr">
        <is>
          <t>E7</t>
        </is>
      </c>
      <c r="H72" s="4" t="inlineStr">
        <is>
          <t>Marketing e comunicazione</t>
        </is>
      </c>
      <c r="I72" s="4" t="inlineStr">
        <is>
          <t>Uscita</t>
        </is>
      </c>
      <c r="J72" s="4" t="inlineStr">
        <is>
          <t>SI</t>
        </is>
      </c>
      <c r="K72" s="4" t="inlineStr">
        <is>
          <t>Obbligatorio</t>
        </is>
      </c>
      <c r="L72" s="5" t="inlineStr"/>
    </row>
    <row r="73">
      <c r="A73" s="4" t="inlineStr">
        <is>
          <t>25.02</t>
        </is>
      </c>
      <c r="B73" s="4" t="inlineStr">
        <is>
          <t>COSTI</t>
        </is>
      </c>
      <c r="C73" s="4" t="inlineStr">
        <is>
          <t>25 - Marketing e comunicazione</t>
        </is>
      </c>
      <c r="D73" s="4" t="inlineStr"/>
      <c r="E73" s="4" t="inlineStr">
        <is>
          <t>Servizi fotografici e video</t>
        </is>
      </c>
      <c r="F73" s="4" t="inlineStr">
        <is>
          <t>E</t>
        </is>
      </c>
      <c r="G73" s="4" t="inlineStr">
        <is>
          <t>E7</t>
        </is>
      </c>
      <c r="H73" s="4" t="inlineStr">
        <is>
          <t>Marketing e comunicazione</t>
        </is>
      </c>
      <c r="I73" s="4" t="inlineStr">
        <is>
          <t>Uscita</t>
        </is>
      </c>
      <c r="J73" s="4" t="inlineStr">
        <is>
          <t>SI</t>
        </is>
      </c>
      <c r="K73" s="4" t="inlineStr">
        <is>
          <t>Obbligatorio</t>
        </is>
      </c>
      <c r="L73" s="5" t="inlineStr"/>
    </row>
    <row r="74">
      <c r="A74" s="4" t="inlineStr">
        <is>
          <t>25.03</t>
        </is>
      </c>
      <c r="B74" s="4" t="inlineStr">
        <is>
          <t>COSTI</t>
        </is>
      </c>
      <c r="C74" s="4" t="inlineStr">
        <is>
          <t>25 - Marketing e comunicazione</t>
        </is>
      </c>
      <c r="D74" s="4" t="inlineStr"/>
      <c r="E74" s="4" t="inlineStr">
        <is>
          <t>Grafica e design</t>
        </is>
      </c>
      <c r="F74" s="4" t="inlineStr">
        <is>
          <t>E</t>
        </is>
      </c>
      <c r="G74" s="4" t="inlineStr">
        <is>
          <t>E7</t>
        </is>
      </c>
      <c r="H74" s="4" t="inlineStr">
        <is>
          <t>Marketing e comunicazione</t>
        </is>
      </c>
      <c r="I74" s="4" t="inlineStr">
        <is>
          <t>Uscita</t>
        </is>
      </c>
      <c r="J74" s="4" t="inlineStr">
        <is>
          <t>SI</t>
        </is>
      </c>
      <c r="K74" s="4" t="inlineStr">
        <is>
          <t>Obbligatorio</t>
        </is>
      </c>
      <c r="L74" s="5" t="inlineStr"/>
    </row>
    <row r="75">
      <c r="A75" s="4" t="inlineStr">
        <is>
          <t>25.04</t>
        </is>
      </c>
      <c r="B75" s="4" t="inlineStr">
        <is>
          <t>COSTI</t>
        </is>
      </c>
      <c r="C75" s="4" t="inlineStr">
        <is>
          <t>25 - Marketing e comunicazione</t>
        </is>
      </c>
      <c r="D75" s="4" t="inlineStr"/>
      <c r="E75" s="4" t="inlineStr">
        <is>
          <t>Social media management</t>
        </is>
      </c>
      <c r="F75" s="4" t="inlineStr">
        <is>
          <t>E</t>
        </is>
      </c>
      <c r="G75" s="4" t="inlineStr">
        <is>
          <t>E7</t>
        </is>
      </c>
      <c r="H75" s="4" t="inlineStr">
        <is>
          <t>Marketing e comunicazione</t>
        </is>
      </c>
      <c r="I75" s="4" t="inlineStr">
        <is>
          <t>Uscita</t>
        </is>
      </c>
      <c r="J75" s="4" t="inlineStr">
        <is>
          <t>SI</t>
        </is>
      </c>
      <c r="K75" s="4" t="inlineStr">
        <is>
          <t>Obbligatorio</t>
        </is>
      </c>
      <c r="L75" s="5" t="inlineStr"/>
    </row>
    <row r="76">
      <c r="A76" s="4" t="inlineStr">
        <is>
          <t>25.05</t>
        </is>
      </c>
      <c r="B76" s="4" t="inlineStr">
        <is>
          <t>COSTI</t>
        </is>
      </c>
      <c r="C76" s="4" t="inlineStr">
        <is>
          <t>25 - Marketing e comunicazione</t>
        </is>
      </c>
      <c r="D76" s="4" t="inlineStr"/>
      <c r="E76" s="4" t="inlineStr">
        <is>
          <t>Stampati, menu e materiale promozionale</t>
        </is>
      </c>
      <c r="F76" s="4" t="inlineStr">
        <is>
          <t>E</t>
        </is>
      </c>
      <c r="G76" s="4" t="inlineStr">
        <is>
          <t>E7</t>
        </is>
      </c>
      <c r="H76" s="4" t="inlineStr">
        <is>
          <t>Marketing e comunicazione</t>
        </is>
      </c>
      <c r="I76" s="4" t="inlineStr">
        <is>
          <t>Uscita</t>
        </is>
      </c>
      <c r="J76" s="4" t="inlineStr">
        <is>
          <t>SI</t>
        </is>
      </c>
      <c r="K76" s="4" t="inlineStr">
        <is>
          <t>Obbligatorio</t>
        </is>
      </c>
      <c r="L76" s="5" t="inlineStr"/>
    </row>
    <row r="77">
      <c r="A77" s="4" t="inlineStr">
        <is>
          <t>25.06</t>
        </is>
      </c>
      <c r="B77" s="4" t="inlineStr">
        <is>
          <t>COSTI</t>
        </is>
      </c>
      <c r="C77" s="4" t="inlineStr">
        <is>
          <t>25 - Marketing e comunicazione</t>
        </is>
      </c>
      <c r="D77" s="4" t="inlineStr"/>
      <c r="E77" s="4" t="inlineStr">
        <is>
          <t>Sito web, domini e hosting</t>
        </is>
      </c>
      <c r="F77" s="4" t="inlineStr">
        <is>
          <t>E</t>
        </is>
      </c>
      <c r="G77" s="4" t="inlineStr">
        <is>
          <t>E7</t>
        </is>
      </c>
      <c r="H77" s="4" t="inlineStr">
        <is>
          <t>Marketing e comunicazione</t>
        </is>
      </c>
      <c r="I77" s="4" t="inlineStr">
        <is>
          <t>Uscita</t>
        </is>
      </c>
      <c r="J77" s="4" t="inlineStr">
        <is>
          <t>SI</t>
        </is>
      </c>
      <c r="K77" s="4" t="inlineStr">
        <is>
          <t>Obbligatorio</t>
        </is>
      </c>
      <c r="L77" s="5" t="inlineStr"/>
    </row>
    <row r="78">
      <c r="A78" s="4" t="inlineStr">
        <is>
          <t>25.07</t>
        </is>
      </c>
      <c r="B78" s="4" t="inlineStr">
        <is>
          <t>COSTI</t>
        </is>
      </c>
      <c r="C78" s="4" t="inlineStr">
        <is>
          <t>25 - Marketing e comunicazione</t>
        </is>
      </c>
      <c r="D78" s="4" t="inlineStr"/>
      <c r="E78" s="4" t="inlineStr">
        <is>
          <t>Pubbliche relazioni e attività PR</t>
        </is>
      </c>
      <c r="F78" s="4" t="inlineStr">
        <is>
          <t>E</t>
        </is>
      </c>
      <c r="G78" s="4" t="inlineStr">
        <is>
          <t>E7</t>
        </is>
      </c>
      <c r="H78" s="4" t="inlineStr">
        <is>
          <t>Marketing e comunicazione</t>
        </is>
      </c>
      <c r="I78" s="4" t="inlineStr">
        <is>
          <t>Uscita</t>
        </is>
      </c>
      <c r="J78" s="4" t="inlineStr">
        <is>
          <t>SI</t>
        </is>
      </c>
      <c r="K78" s="4" t="inlineStr">
        <is>
          <t>Obbligatorio</t>
        </is>
      </c>
      <c r="L78" s="5" t="inlineStr"/>
    </row>
    <row r="79">
      <c r="A79" s="4" t="inlineStr">
        <is>
          <t>25.08</t>
        </is>
      </c>
      <c r="B79" s="4" t="inlineStr">
        <is>
          <t>COSTI</t>
        </is>
      </c>
      <c r="C79" s="4" t="inlineStr">
        <is>
          <t>25 - Marketing e comunicazione</t>
        </is>
      </c>
      <c r="D79" s="4" t="inlineStr"/>
      <c r="E79" s="4" t="inlineStr">
        <is>
          <t>Sponsorizzazioni passive e contributi a terzi</t>
        </is>
      </c>
      <c r="F79" s="4" t="inlineStr">
        <is>
          <t>E</t>
        </is>
      </c>
      <c r="G79" s="4" t="inlineStr">
        <is>
          <t>E7</t>
        </is>
      </c>
      <c r="H79" s="4" t="inlineStr">
        <is>
          <t>Marketing e comunicazione</t>
        </is>
      </c>
      <c r="I79" s="4" t="inlineStr">
        <is>
          <t>Uscita</t>
        </is>
      </c>
      <c r="J79" s="4" t="inlineStr">
        <is>
          <t>SI</t>
        </is>
      </c>
      <c r="K79" s="4" t="inlineStr">
        <is>
          <t>Obbligatorio</t>
        </is>
      </c>
      <c r="L79" s="5" t="inlineStr"/>
    </row>
    <row r="80">
      <c r="A80" s="4" t="inlineStr">
        <is>
          <t>26.01</t>
        </is>
      </c>
      <c r="B80" s="4" t="inlineStr">
        <is>
          <t>COSTI</t>
        </is>
      </c>
      <c r="C80" s="4" t="inlineStr">
        <is>
          <t>26 - Costi diretti eventi</t>
        </is>
      </c>
      <c r="D80" s="4" t="inlineStr"/>
      <c r="E80" s="4" t="inlineStr">
        <is>
          <t>Artisti, DJ e compensi live</t>
        </is>
      </c>
      <c r="F80" s="4" t="inlineStr">
        <is>
          <t>D</t>
        </is>
      </c>
      <c r="G80" s="4" t="inlineStr">
        <is>
          <t>D1</t>
        </is>
      </c>
      <c r="H80" s="4" t="inlineStr">
        <is>
          <t>Artisti e service</t>
        </is>
      </c>
      <c r="I80" s="4" t="inlineStr">
        <is>
          <t>Uscita</t>
        </is>
      </c>
      <c r="J80" s="4" t="inlineStr">
        <is>
          <t>SI</t>
        </is>
      </c>
      <c r="K80" s="4" t="inlineStr">
        <is>
          <t>Obbligatorio</t>
        </is>
      </c>
      <c r="L80" s="5" t="inlineStr"/>
    </row>
    <row r="81">
      <c r="A81" s="4" t="inlineStr">
        <is>
          <t>26.02</t>
        </is>
      </c>
      <c r="B81" s="4" t="inlineStr">
        <is>
          <t>COSTI</t>
        </is>
      </c>
      <c r="C81" s="4" t="inlineStr">
        <is>
          <t>26 - Costi diretti eventi</t>
        </is>
      </c>
      <c r="D81" s="4" t="inlineStr"/>
      <c r="E81" s="4" t="inlineStr">
        <is>
          <t>Service audio-luci e noleggi tecnici</t>
        </is>
      </c>
      <c r="F81" s="4" t="inlineStr">
        <is>
          <t>D</t>
        </is>
      </c>
      <c r="G81" s="4" t="inlineStr">
        <is>
          <t>D1</t>
        </is>
      </c>
      <c r="H81" s="4" t="inlineStr">
        <is>
          <t>Artisti e service</t>
        </is>
      </c>
      <c r="I81" s="4" t="inlineStr">
        <is>
          <t>Uscita</t>
        </is>
      </c>
      <c r="J81" s="4" t="inlineStr">
        <is>
          <t>SI</t>
        </is>
      </c>
      <c r="K81" s="4" t="inlineStr">
        <is>
          <t>Obbligatorio</t>
        </is>
      </c>
      <c r="L81" s="5" t="inlineStr"/>
    </row>
    <row r="82">
      <c r="A82" s="4" t="inlineStr">
        <is>
          <t>26.03</t>
        </is>
      </c>
      <c r="B82" s="4" t="inlineStr">
        <is>
          <t>COSTI</t>
        </is>
      </c>
      <c r="C82" s="4" t="inlineStr">
        <is>
          <t>26 - Costi diretti eventi</t>
        </is>
      </c>
      <c r="D82" s="4" t="inlineStr"/>
      <c r="E82" s="4" t="inlineStr">
        <is>
          <t>Personale evento</t>
        </is>
      </c>
      <c r="F82" s="4" t="inlineStr">
        <is>
          <t>D</t>
        </is>
      </c>
      <c r="G82" s="4" t="inlineStr">
        <is>
          <t>D2</t>
        </is>
      </c>
      <c r="H82" s="4" t="inlineStr">
        <is>
          <t>Manodopera evento</t>
        </is>
      </c>
      <c r="I82" s="4" t="inlineStr">
        <is>
          <t>Uscita</t>
        </is>
      </c>
      <c r="J82" s="4" t="inlineStr">
        <is>
          <t>SI</t>
        </is>
      </c>
      <c r="K82" s="4" t="inlineStr">
        <is>
          <t>Obbligatorio</t>
        </is>
      </c>
      <c r="L82" s="5" t="inlineStr"/>
    </row>
    <row r="83">
      <c r="A83" s="4" t="inlineStr">
        <is>
          <t>26.04</t>
        </is>
      </c>
      <c r="B83" s="4" t="inlineStr">
        <is>
          <t>COSTI</t>
        </is>
      </c>
      <c r="C83" s="4" t="inlineStr">
        <is>
          <t>26 - Costi diretti eventi</t>
        </is>
      </c>
      <c r="D83" s="4" t="inlineStr"/>
      <c r="E83" s="4" t="inlineStr">
        <is>
          <t>PR e promoter evento</t>
        </is>
      </c>
      <c r="F83" s="4" t="inlineStr">
        <is>
          <t>D</t>
        </is>
      </c>
      <c r="G83" s="4" t="inlineStr">
        <is>
          <t>D3</t>
        </is>
      </c>
      <c r="H83" s="4" t="inlineStr">
        <is>
          <t>Promozione evento</t>
        </is>
      </c>
      <c r="I83" s="4" t="inlineStr">
        <is>
          <t>Uscita</t>
        </is>
      </c>
      <c r="J83" s="4" t="inlineStr">
        <is>
          <t>SI</t>
        </is>
      </c>
      <c r="K83" s="4" t="inlineStr">
        <is>
          <t>Obbligatorio</t>
        </is>
      </c>
      <c r="L83" s="5" t="inlineStr"/>
    </row>
    <row r="84">
      <c r="A84" s="4" t="inlineStr">
        <is>
          <t>26.05</t>
        </is>
      </c>
      <c r="B84" s="4" t="inlineStr">
        <is>
          <t>COSTI</t>
        </is>
      </c>
      <c r="C84" s="4" t="inlineStr">
        <is>
          <t>26 - Costi diretti eventi</t>
        </is>
      </c>
      <c r="D84" s="4" t="inlineStr"/>
      <c r="E84" s="4" t="inlineStr">
        <is>
          <t>Sicurezza e steward evento</t>
        </is>
      </c>
      <c r="F84" s="4" t="inlineStr">
        <is>
          <t>D</t>
        </is>
      </c>
      <c r="G84" s="4" t="inlineStr">
        <is>
          <t>D2</t>
        </is>
      </c>
      <c r="H84" s="4" t="inlineStr">
        <is>
          <t>Manodopera evento</t>
        </is>
      </c>
      <c r="I84" s="4" t="inlineStr">
        <is>
          <t>Uscita</t>
        </is>
      </c>
      <c r="J84" s="4" t="inlineStr">
        <is>
          <t>SI</t>
        </is>
      </c>
      <c r="K84" s="4" t="inlineStr">
        <is>
          <t>Obbligatorio</t>
        </is>
      </c>
      <c r="L84" s="5" t="inlineStr"/>
    </row>
    <row r="85">
      <c r="A85" s="4" t="inlineStr">
        <is>
          <t>26.06</t>
        </is>
      </c>
      <c r="B85" s="4" t="inlineStr">
        <is>
          <t>COSTI</t>
        </is>
      </c>
      <c r="C85" s="4" t="inlineStr">
        <is>
          <t>26 - Costi diretti eventi</t>
        </is>
      </c>
      <c r="D85" s="4" t="inlineStr"/>
      <c r="E85" s="4" t="inlineStr">
        <is>
          <t>Servizi di pulizia evento</t>
        </is>
      </c>
      <c r="F85" s="4" t="inlineStr">
        <is>
          <t>D</t>
        </is>
      </c>
      <c r="G85" s="4" t="inlineStr">
        <is>
          <t>D2</t>
        </is>
      </c>
      <c r="H85" s="4" t="inlineStr">
        <is>
          <t>Manodopera evento</t>
        </is>
      </c>
      <c r="I85" s="4" t="inlineStr">
        <is>
          <t>Uscita</t>
        </is>
      </c>
      <c r="J85" s="4" t="inlineStr">
        <is>
          <t>SI</t>
        </is>
      </c>
      <c r="K85" s="4" t="inlineStr">
        <is>
          <t>Obbligatorio</t>
        </is>
      </c>
      <c r="L85" s="5" t="inlineStr"/>
    </row>
    <row r="86">
      <c r="A86" s="4" t="inlineStr">
        <is>
          <t>26.07</t>
        </is>
      </c>
      <c r="B86" s="4" t="inlineStr">
        <is>
          <t>COSTI</t>
        </is>
      </c>
      <c r="C86" s="4" t="inlineStr">
        <is>
          <t>26 - Costi diretti eventi</t>
        </is>
      </c>
      <c r="D86" s="4" t="inlineStr"/>
      <c r="E86" s="4" t="inlineStr">
        <is>
          <t>Advertising e sponsorizzate evento</t>
        </is>
      </c>
      <c r="F86" s="4" t="inlineStr">
        <is>
          <t>D</t>
        </is>
      </c>
      <c r="G86" s="4" t="inlineStr">
        <is>
          <t>D3</t>
        </is>
      </c>
      <c r="H86" s="4" t="inlineStr">
        <is>
          <t>Promozione evento</t>
        </is>
      </c>
      <c r="I86" s="4" t="inlineStr">
        <is>
          <t>Uscita</t>
        </is>
      </c>
      <c r="J86" s="4" t="inlineStr">
        <is>
          <t>SI</t>
        </is>
      </c>
      <c r="K86" s="4" t="inlineStr">
        <is>
          <t>Obbligatorio</t>
        </is>
      </c>
      <c r="L86" s="5" t="inlineStr"/>
    </row>
    <row r="87">
      <c r="A87" s="4" t="inlineStr">
        <is>
          <t>26.08</t>
        </is>
      </c>
      <c r="B87" s="4" t="inlineStr">
        <is>
          <t>COSTI</t>
        </is>
      </c>
      <c r="C87" s="4" t="inlineStr">
        <is>
          <t>26 - Costi diretti eventi</t>
        </is>
      </c>
      <c r="D87" s="4" t="inlineStr"/>
      <c r="E87" s="4" t="inlineStr">
        <is>
          <t>Foto e grafiche evento</t>
        </is>
      </c>
      <c r="F87" s="4" t="inlineStr">
        <is>
          <t>D</t>
        </is>
      </c>
      <c r="G87" s="4" t="inlineStr">
        <is>
          <t>D3</t>
        </is>
      </c>
      <c r="H87" s="4" t="inlineStr">
        <is>
          <t>Promozione evento</t>
        </is>
      </c>
      <c r="I87" s="4" t="inlineStr">
        <is>
          <t>Uscita</t>
        </is>
      </c>
      <c r="J87" s="4" t="inlineStr">
        <is>
          <t>SI</t>
        </is>
      </c>
      <c r="K87" s="4" t="inlineStr">
        <is>
          <t>Obbligatorio</t>
        </is>
      </c>
      <c r="L87" s="5" t="inlineStr"/>
    </row>
    <row r="88">
      <c r="A88" s="4" t="inlineStr">
        <is>
          <t>26.09</t>
        </is>
      </c>
      <c r="B88" s="4" t="inlineStr">
        <is>
          <t>COSTI</t>
        </is>
      </c>
      <c r="C88" s="4" t="inlineStr">
        <is>
          <t>26 - Costi diretti eventi</t>
        </is>
      </c>
      <c r="D88" s="4" t="inlineStr"/>
      <c r="E88" s="4" t="inlineStr">
        <is>
          <t>SIAE, SCF e diritti musicali</t>
        </is>
      </c>
      <c r="F88" s="4" t="inlineStr">
        <is>
          <t>D</t>
        </is>
      </c>
      <c r="G88" s="4" t="inlineStr">
        <is>
          <t>D4</t>
        </is>
      </c>
      <c r="H88" s="4" t="inlineStr">
        <is>
          <t>Oneri e allestimenti evento</t>
        </is>
      </c>
      <c r="I88" s="4" t="inlineStr">
        <is>
          <t>Uscita</t>
        </is>
      </c>
      <c r="J88" s="4" t="inlineStr">
        <is>
          <t>SI</t>
        </is>
      </c>
      <c r="K88" s="4" t="inlineStr">
        <is>
          <t>Obbligatorio</t>
        </is>
      </c>
      <c r="L88" s="5" t="inlineStr"/>
    </row>
    <row r="89">
      <c r="A89" s="4" t="inlineStr">
        <is>
          <t>26.10</t>
        </is>
      </c>
      <c r="B89" s="4" t="inlineStr">
        <is>
          <t>COSTI</t>
        </is>
      </c>
      <c r="C89" s="4" t="inlineStr">
        <is>
          <t>26 - Costi diretti eventi</t>
        </is>
      </c>
      <c r="D89" s="4" t="inlineStr"/>
      <c r="E89" s="4" t="inlineStr">
        <is>
          <t>Permessi, autorizzazioni e oneri evento</t>
        </is>
      </c>
      <c r="F89" s="4" t="inlineStr">
        <is>
          <t>D</t>
        </is>
      </c>
      <c r="G89" s="4" t="inlineStr">
        <is>
          <t>D4</t>
        </is>
      </c>
      <c r="H89" s="4" t="inlineStr">
        <is>
          <t>Oneri e allestimenti evento</t>
        </is>
      </c>
      <c r="I89" s="4" t="inlineStr">
        <is>
          <t>Uscita</t>
        </is>
      </c>
      <c r="J89" s="4" t="inlineStr">
        <is>
          <t>SI</t>
        </is>
      </c>
      <c r="K89" s="4" t="inlineStr">
        <is>
          <t>Obbligatorio</t>
        </is>
      </c>
      <c r="L89" s="5" t="inlineStr"/>
    </row>
    <row r="90">
      <c r="A90" s="4" t="inlineStr">
        <is>
          <t>26.11</t>
        </is>
      </c>
      <c r="B90" s="4" t="inlineStr">
        <is>
          <t>COSTI</t>
        </is>
      </c>
      <c r="C90" s="4" t="inlineStr">
        <is>
          <t>26 - Costi diretti eventi</t>
        </is>
      </c>
      <c r="D90" s="4" t="inlineStr"/>
      <c r="E90" s="4" t="inlineStr">
        <is>
          <t>Allestimenti e materiali evento</t>
        </is>
      </c>
      <c r="F90" s="4" t="inlineStr">
        <is>
          <t>D</t>
        </is>
      </c>
      <c r="G90" s="4" t="inlineStr">
        <is>
          <t>D4</t>
        </is>
      </c>
      <c r="H90" s="4" t="inlineStr">
        <is>
          <t>Oneri e allestimenti evento</t>
        </is>
      </c>
      <c r="I90" s="4" t="inlineStr">
        <is>
          <t>Uscita</t>
        </is>
      </c>
      <c r="J90" s="4" t="inlineStr">
        <is>
          <t>SI</t>
        </is>
      </c>
      <c r="K90" s="4" t="inlineStr">
        <is>
          <t>Obbligatorio</t>
        </is>
      </c>
      <c r="L90" s="5" t="inlineStr"/>
    </row>
    <row r="91">
      <c r="A91" s="4" t="inlineStr">
        <is>
          <t>27.01</t>
        </is>
      </c>
      <c r="B91" s="4" t="inlineStr">
        <is>
          <t>COSTI</t>
        </is>
      </c>
      <c r="C91" s="4" t="inlineStr">
        <is>
          <t>27 - Godimento beni di terzi</t>
        </is>
      </c>
      <c r="D91" s="4" t="inlineStr"/>
      <c r="E91" s="4" t="inlineStr">
        <is>
          <t>Affitti e locazioni immobili</t>
        </is>
      </c>
      <c r="F91" s="4" t="inlineStr">
        <is>
          <t>E</t>
        </is>
      </c>
      <c r="G91" s="4" t="inlineStr">
        <is>
          <t>E1</t>
        </is>
      </c>
      <c r="H91" s="4" t="inlineStr">
        <is>
          <t>Immobili e spazi</t>
        </is>
      </c>
      <c r="I91" s="4" t="inlineStr">
        <is>
          <t>Uscita</t>
        </is>
      </c>
      <c r="J91" s="4" t="inlineStr">
        <is>
          <t>SI</t>
        </is>
      </c>
      <c r="K91" s="4" t="inlineStr">
        <is>
          <t>Obbligatorio</t>
        </is>
      </c>
      <c r="L91" s="5" t="inlineStr"/>
    </row>
    <row r="92">
      <c r="A92" s="4" t="inlineStr">
        <is>
          <t>27.02</t>
        </is>
      </c>
      <c r="B92" s="4" t="inlineStr">
        <is>
          <t>COSTI</t>
        </is>
      </c>
      <c r="C92" s="4" t="inlineStr">
        <is>
          <t>27 - Godimento beni di terzi</t>
        </is>
      </c>
      <c r="D92" s="4" t="inlineStr"/>
      <c r="E92" s="4" t="inlineStr">
        <is>
          <t>Spese condominiali</t>
        </is>
      </c>
      <c r="F92" s="4" t="inlineStr">
        <is>
          <t>E</t>
        </is>
      </c>
      <c r="G92" s="4" t="inlineStr">
        <is>
          <t>E1</t>
        </is>
      </c>
      <c r="H92" s="4" t="inlineStr">
        <is>
          <t>Immobili e spazi</t>
        </is>
      </c>
      <c r="I92" s="4" t="inlineStr">
        <is>
          <t>Uscita</t>
        </is>
      </c>
      <c r="J92" s="4" t="inlineStr">
        <is>
          <t>SI</t>
        </is>
      </c>
      <c r="K92" s="4" t="inlineStr">
        <is>
          <t>Obbligatorio</t>
        </is>
      </c>
      <c r="L92" s="5" t="inlineStr"/>
    </row>
    <row r="93">
      <c r="A93" s="4" t="inlineStr">
        <is>
          <t>27.03</t>
        </is>
      </c>
      <c r="B93" s="4" t="inlineStr">
        <is>
          <t>COSTI</t>
        </is>
      </c>
      <c r="C93" s="4" t="inlineStr">
        <is>
          <t>27 - Godimento beni di terzi</t>
        </is>
      </c>
      <c r="D93" s="4" t="inlineStr"/>
      <c r="E93" s="4" t="inlineStr">
        <is>
          <t>Canoni concessori e demaniali</t>
        </is>
      </c>
      <c r="F93" s="4" t="inlineStr">
        <is>
          <t>E</t>
        </is>
      </c>
      <c r="G93" s="4" t="inlineStr">
        <is>
          <t>E1</t>
        </is>
      </c>
      <c r="H93" s="4" t="inlineStr">
        <is>
          <t>Immobili e spazi</t>
        </is>
      </c>
      <c r="I93" s="4" t="inlineStr">
        <is>
          <t>Uscita</t>
        </is>
      </c>
      <c r="J93" s="4" t="inlineStr">
        <is>
          <t>SI</t>
        </is>
      </c>
      <c r="K93" s="4" t="inlineStr">
        <is>
          <t>Obbligatorio</t>
        </is>
      </c>
      <c r="L93" s="5" t="inlineStr"/>
    </row>
    <row r="94">
      <c r="A94" s="4" t="inlineStr">
        <is>
          <t>27.04</t>
        </is>
      </c>
      <c r="B94" s="4" t="inlineStr">
        <is>
          <t>COSTI</t>
        </is>
      </c>
      <c r="C94" s="4" t="inlineStr">
        <is>
          <t>27 - Godimento beni di terzi</t>
        </is>
      </c>
      <c r="D94" s="4" t="inlineStr"/>
      <c r="E94" s="4" t="inlineStr">
        <is>
          <t>Noleggio attrezzature</t>
        </is>
      </c>
      <c r="F94" s="4" t="inlineStr">
        <is>
          <t>E</t>
        </is>
      </c>
      <c r="G94" s="4" t="inlineStr">
        <is>
          <t>E3</t>
        </is>
      </c>
      <c r="H94" s="4" t="inlineStr">
        <is>
          <t>Noleggi, leasing e licenze</t>
        </is>
      </c>
      <c r="I94" s="4" t="inlineStr">
        <is>
          <t>Uscita</t>
        </is>
      </c>
      <c r="J94" s="4" t="inlineStr">
        <is>
          <t>SI</t>
        </is>
      </c>
      <c r="K94" s="4" t="inlineStr">
        <is>
          <t>Obbligatorio</t>
        </is>
      </c>
      <c r="L94" s="5" t="inlineStr"/>
    </row>
    <row r="95">
      <c r="A95" s="4" t="inlineStr">
        <is>
          <t>27.05</t>
        </is>
      </c>
      <c r="B95" s="4" t="inlineStr">
        <is>
          <t>COSTI</t>
        </is>
      </c>
      <c r="C95" s="4" t="inlineStr">
        <is>
          <t>27 - Godimento beni di terzi</t>
        </is>
      </c>
      <c r="D95" s="4" t="inlineStr"/>
      <c r="E95" s="4" t="inlineStr">
        <is>
          <t>Noleggio automezzi</t>
        </is>
      </c>
      <c r="F95" s="4" t="inlineStr">
        <is>
          <t>E</t>
        </is>
      </c>
      <c r="G95" s="4" t="inlineStr">
        <is>
          <t>E3</t>
        </is>
      </c>
      <c r="H95" s="4" t="inlineStr">
        <is>
          <t>Noleggi, leasing e licenze</t>
        </is>
      </c>
      <c r="I95" s="4" t="inlineStr">
        <is>
          <t>Uscita</t>
        </is>
      </c>
      <c r="J95" s="4" t="inlineStr">
        <is>
          <t>SI</t>
        </is>
      </c>
      <c r="K95" s="4" t="inlineStr">
        <is>
          <t>Obbligatorio</t>
        </is>
      </c>
      <c r="L95" s="5" t="inlineStr"/>
    </row>
    <row r="96">
      <c r="A96" s="4" t="inlineStr">
        <is>
          <t>27.06</t>
        </is>
      </c>
      <c r="B96" s="4" t="inlineStr">
        <is>
          <t>COSTI</t>
        </is>
      </c>
      <c r="C96" s="4" t="inlineStr">
        <is>
          <t>27 - Godimento beni di terzi</t>
        </is>
      </c>
      <c r="D96" s="4" t="inlineStr"/>
      <c r="E96" s="4" t="inlineStr">
        <is>
          <t>Canoni di leasing</t>
        </is>
      </c>
      <c r="F96" s="4" t="inlineStr">
        <is>
          <t>E</t>
        </is>
      </c>
      <c r="G96" s="4" t="inlineStr">
        <is>
          <t>E3</t>
        </is>
      </c>
      <c r="H96" s="4" t="inlineStr">
        <is>
          <t>Noleggi, leasing e licenze</t>
        </is>
      </c>
      <c r="I96" s="4" t="inlineStr">
        <is>
          <t>Uscita</t>
        </is>
      </c>
      <c r="J96" s="4" t="inlineStr">
        <is>
          <t>SI</t>
        </is>
      </c>
      <c r="K96" s="4" t="inlineStr">
        <is>
          <t>Obbligatorio</t>
        </is>
      </c>
      <c r="L96" s="5" t="inlineStr"/>
    </row>
    <row r="97">
      <c r="A97" s="4" t="inlineStr">
        <is>
          <t>27.07</t>
        </is>
      </c>
      <c r="B97" s="4" t="inlineStr">
        <is>
          <t>COSTI</t>
        </is>
      </c>
      <c r="C97" s="4" t="inlineStr">
        <is>
          <t>27 - Godimento beni di terzi</t>
        </is>
      </c>
      <c r="D97" s="4" t="inlineStr"/>
      <c r="E97" s="4" t="inlineStr">
        <is>
          <t>Licenze software e canoni SaaS (POS, gestionale)</t>
        </is>
      </c>
      <c r="F97" s="4" t="inlineStr">
        <is>
          <t>E</t>
        </is>
      </c>
      <c r="G97" s="4" t="inlineStr">
        <is>
          <t>E3</t>
        </is>
      </c>
      <c r="H97" s="4" t="inlineStr">
        <is>
          <t>Noleggi, leasing e licenze</t>
        </is>
      </c>
      <c r="I97" s="4" t="inlineStr">
        <is>
          <t>Uscita</t>
        </is>
      </c>
      <c r="J97" s="4" t="inlineStr">
        <is>
          <t>SI</t>
        </is>
      </c>
      <c r="K97" s="4" t="inlineStr">
        <is>
          <t>Default STR</t>
        </is>
      </c>
      <c r="L97" s="5" t="inlineStr"/>
    </row>
    <row r="98">
      <c r="A98" s="4" t="inlineStr">
        <is>
          <t>27.08</t>
        </is>
      </c>
      <c r="B98" s="4" t="inlineStr">
        <is>
          <t>COSTI</t>
        </is>
      </c>
      <c r="C98" s="4" t="inlineStr">
        <is>
          <t>27 - Godimento beni di terzi</t>
        </is>
      </c>
      <c r="D98" s="4" t="inlineStr"/>
      <c r="E98" s="4" t="inlineStr">
        <is>
          <t>Royalties e diritti d'uso marchio</t>
        </is>
      </c>
      <c r="F98" s="4" t="inlineStr">
        <is>
          <t>E</t>
        </is>
      </c>
      <c r="G98" s="4" t="inlineStr">
        <is>
          <t>E3</t>
        </is>
      </c>
      <c r="H98" s="4" t="inlineStr">
        <is>
          <t>Noleggi, leasing e licenze</t>
        </is>
      </c>
      <c r="I98" s="4" t="inlineStr">
        <is>
          <t>Uscita</t>
        </is>
      </c>
      <c r="J98" s="4" t="inlineStr">
        <is>
          <t>SI</t>
        </is>
      </c>
      <c r="K98" s="4" t="inlineStr">
        <is>
          <t>Obbligatorio</t>
        </is>
      </c>
      <c r="L98" s="5" t="inlineStr"/>
    </row>
    <row r="99">
      <c r="A99" s="4" t="inlineStr">
        <is>
          <t>28.1.01</t>
        </is>
      </c>
      <c r="B99" s="4" t="inlineStr">
        <is>
          <t>COSTI</t>
        </is>
      </c>
      <c r="C99" s="4" t="inlineStr">
        <is>
          <t>28 - Costo del personale</t>
        </is>
      </c>
      <c r="D99" s="4" t="inlineStr">
        <is>
          <t>28.1 - Retribuzioni</t>
        </is>
      </c>
      <c r="E99" s="4" t="inlineStr">
        <is>
          <t>Retribuzioni personale dipendente serale</t>
        </is>
      </c>
      <c r="F99" s="4" t="inlineStr">
        <is>
          <t>C</t>
        </is>
      </c>
      <c r="G99" s="4" t="inlineStr">
        <is>
          <t>C1</t>
        </is>
      </c>
      <c r="H99" s="4" t="inlineStr">
        <is>
          <t>Retribuzioni</t>
        </is>
      </c>
      <c r="I99" s="4" t="inlineStr">
        <is>
          <t>Uscita</t>
        </is>
      </c>
      <c r="J99" s="4" t="inlineStr">
        <is>
          <t>SI</t>
        </is>
      </c>
      <c r="K99" s="4" t="inlineStr">
        <is>
          <t>Obbligatorio</t>
        </is>
      </c>
      <c r="L99" s="5" t="inlineStr"/>
    </row>
    <row r="100">
      <c r="A100" s="4" t="inlineStr">
        <is>
          <t>28.1.02</t>
        </is>
      </c>
      <c r="B100" s="4" t="inlineStr">
        <is>
          <t>COSTI</t>
        </is>
      </c>
      <c r="C100" s="4" t="inlineStr">
        <is>
          <t>28 - Costo del personale</t>
        </is>
      </c>
      <c r="D100" s="4" t="inlineStr">
        <is>
          <t>28.1 - Retribuzioni</t>
        </is>
      </c>
      <c r="E100" s="4" t="inlineStr">
        <is>
          <t>Retribuzioni personale extra e a chiamata</t>
        </is>
      </c>
      <c r="F100" s="4" t="inlineStr">
        <is>
          <t>C</t>
        </is>
      </c>
      <c r="G100" s="4" t="inlineStr">
        <is>
          <t>C1</t>
        </is>
      </c>
      <c r="H100" s="4" t="inlineStr">
        <is>
          <t>Retribuzioni</t>
        </is>
      </c>
      <c r="I100" s="4" t="inlineStr">
        <is>
          <t>Uscita</t>
        </is>
      </c>
      <c r="J100" s="4" t="inlineStr">
        <is>
          <t>SI</t>
        </is>
      </c>
      <c r="K100" s="4" t="inlineStr">
        <is>
          <t>Obbligatorio</t>
        </is>
      </c>
      <c r="L100" s="5" t="inlineStr"/>
    </row>
    <row r="101">
      <c r="A101" s="4" t="inlineStr">
        <is>
          <t>28.1.03</t>
        </is>
      </c>
      <c r="B101" s="4" t="inlineStr">
        <is>
          <t>COSTI</t>
        </is>
      </c>
      <c r="C101" s="4" t="inlineStr">
        <is>
          <t>28 - Costo del personale</t>
        </is>
      </c>
      <c r="D101" s="4" t="inlineStr">
        <is>
          <t>28.1 - Retribuzioni</t>
        </is>
      </c>
      <c r="E101" s="4" t="inlineStr">
        <is>
          <t>Retribuzioni personale servizio mattina</t>
        </is>
      </c>
      <c r="F101" s="4" t="inlineStr">
        <is>
          <t>C</t>
        </is>
      </c>
      <c r="G101" s="4" t="inlineStr">
        <is>
          <t>C1</t>
        </is>
      </c>
      <c r="H101" s="4" t="inlineStr">
        <is>
          <t>Retribuzioni</t>
        </is>
      </c>
      <c r="I101" s="4" t="inlineStr">
        <is>
          <t>Uscita</t>
        </is>
      </c>
      <c r="J101" s="4" t="inlineStr">
        <is>
          <t>SI</t>
        </is>
      </c>
      <c r="K101" s="4" t="inlineStr">
        <is>
          <t>Obbligatorio</t>
        </is>
      </c>
      <c r="L101" s="5" t="inlineStr"/>
    </row>
    <row r="102">
      <c r="A102" s="4" t="inlineStr">
        <is>
          <t>28.1.04</t>
        </is>
      </c>
      <c r="B102" s="4" t="inlineStr">
        <is>
          <t>COSTI</t>
        </is>
      </c>
      <c r="C102" s="4" t="inlineStr">
        <is>
          <t>28 - Costo del personale</t>
        </is>
      </c>
      <c r="D102" s="4" t="inlineStr">
        <is>
          <t>28.1 - Retribuzioni</t>
        </is>
      </c>
      <c r="E102" s="4" t="inlineStr">
        <is>
          <t>Retribuzioni personale extra mattina</t>
        </is>
      </c>
      <c r="F102" s="4" t="inlineStr">
        <is>
          <t>C</t>
        </is>
      </c>
      <c r="G102" s="4" t="inlineStr">
        <is>
          <t>C1</t>
        </is>
      </c>
      <c r="H102" s="4" t="inlineStr">
        <is>
          <t>Retribuzioni</t>
        </is>
      </c>
      <c r="I102" s="4" t="inlineStr">
        <is>
          <t>Uscita</t>
        </is>
      </c>
      <c r="J102" s="4" t="inlineStr">
        <is>
          <t>SI</t>
        </is>
      </c>
      <c r="K102" s="4" t="inlineStr">
        <is>
          <t>Obbligatorio</t>
        </is>
      </c>
      <c r="L102" s="5" t="inlineStr"/>
    </row>
    <row r="103">
      <c r="A103" s="4" t="inlineStr">
        <is>
          <t>28.1.05</t>
        </is>
      </c>
      <c r="B103" s="4" t="inlineStr">
        <is>
          <t>COSTI</t>
        </is>
      </c>
      <c r="C103" s="4" t="inlineStr">
        <is>
          <t>28 - Costo del personale</t>
        </is>
      </c>
      <c r="D103" s="4" t="inlineStr">
        <is>
          <t>28.1 - Retribuzioni</t>
        </is>
      </c>
      <c r="E103" s="4" t="inlineStr">
        <is>
          <t>Retribuzioni personale pulizie</t>
        </is>
      </c>
      <c r="F103" s="4" t="inlineStr">
        <is>
          <t>C</t>
        </is>
      </c>
      <c r="G103" s="4" t="inlineStr">
        <is>
          <t>C1</t>
        </is>
      </c>
      <c r="H103" s="4" t="inlineStr">
        <is>
          <t>Retribuzioni</t>
        </is>
      </c>
      <c r="I103" s="4" t="inlineStr">
        <is>
          <t>Uscita</t>
        </is>
      </c>
      <c r="J103" s="4" t="inlineStr">
        <is>
          <t>SI</t>
        </is>
      </c>
      <c r="K103" s="4" t="inlineStr">
        <is>
          <t>Obbligatorio</t>
        </is>
      </c>
      <c r="L103" s="5" t="inlineStr"/>
    </row>
    <row r="104">
      <c r="A104" s="4" t="inlineStr">
        <is>
          <t>28.1.06</t>
        </is>
      </c>
      <c r="B104" s="4" t="inlineStr">
        <is>
          <t>COSTI</t>
        </is>
      </c>
      <c r="C104" s="4" t="inlineStr">
        <is>
          <t>28 - Costo del personale</t>
        </is>
      </c>
      <c r="D104" s="4" t="inlineStr">
        <is>
          <t>28.1 - Retribuzioni</t>
        </is>
      </c>
      <c r="E104" s="4" t="inlineStr">
        <is>
          <t>Retribuzioni personale sicurezza</t>
        </is>
      </c>
      <c r="F104" s="4" t="inlineStr">
        <is>
          <t>C</t>
        </is>
      </c>
      <c r="G104" s="4" t="inlineStr">
        <is>
          <t>C1</t>
        </is>
      </c>
      <c r="H104" s="4" t="inlineStr">
        <is>
          <t>Retribuzioni</t>
        </is>
      </c>
      <c r="I104" s="4" t="inlineStr">
        <is>
          <t>Uscita</t>
        </is>
      </c>
      <c r="J104" s="4" t="inlineStr">
        <is>
          <t>SI</t>
        </is>
      </c>
      <c r="K104" s="4" t="inlineStr">
        <is>
          <t>Obbligatorio</t>
        </is>
      </c>
      <c r="L104" s="5" t="inlineStr"/>
    </row>
    <row r="105">
      <c r="A105" s="4" t="inlineStr">
        <is>
          <t>28.1.07</t>
        </is>
      </c>
      <c r="B105" s="4" t="inlineStr">
        <is>
          <t>COSTI</t>
        </is>
      </c>
      <c r="C105" s="4" t="inlineStr">
        <is>
          <t>28 - Costo del personale</t>
        </is>
      </c>
      <c r="D105" s="4" t="inlineStr">
        <is>
          <t>28.1 - Retribuzioni</t>
        </is>
      </c>
      <c r="E105" s="4" t="inlineStr">
        <is>
          <t>Straordinari e maggiorazioni</t>
        </is>
      </c>
      <c r="F105" s="4" t="inlineStr">
        <is>
          <t>C</t>
        </is>
      </c>
      <c r="G105" s="4" t="inlineStr">
        <is>
          <t>C1</t>
        </is>
      </c>
      <c r="H105" s="4" t="inlineStr">
        <is>
          <t>Retribuzioni</t>
        </is>
      </c>
      <c r="I105" s="4" t="inlineStr">
        <is>
          <t>Uscita</t>
        </is>
      </c>
      <c r="J105" s="4" t="inlineStr">
        <is>
          <t>SI</t>
        </is>
      </c>
      <c r="K105" s="4" t="inlineStr">
        <is>
          <t>Obbligatorio</t>
        </is>
      </c>
      <c r="L105" s="5" t="inlineStr"/>
    </row>
    <row r="106">
      <c r="A106" s="4" t="inlineStr">
        <is>
          <t>28.1.08</t>
        </is>
      </c>
      <c r="B106" s="4" t="inlineStr">
        <is>
          <t>COSTI</t>
        </is>
      </c>
      <c r="C106" s="4" t="inlineStr">
        <is>
          <t>28 - Costo del personale</t>
        </is>
      </c>
      <c r="D106" s="4" t="inlineStr">
        <is>
          <t>28.1 - Retribuzioni</t>
        </is>
      </c>
      <c r="E106" s="4" t="inlineStr">
        <is>
          <t>Ferie, permessi e mensilità aggiuntive</t>
        </is>
      </c>
      <c r="F106" s="4" t="inlineStr">
        <is>
          <t>C</t>
        </is>
      </c>
      <c r="G106" s="4" t="inlineStr">
        <is>
          <t>C1</t>
        </is>
      </c>
      <c r="H106" s="4" t="inlineStr">
        <is>
          <t>Retribuzioni</t>
        </is>
      </c>
      <c r="I106" s="4" t="inlineStr">
        <is>
          <t>Uscita</t>
        </is>
      </c>
      <c r="J106" s="4" t="inlineStr">
        <is>
          <t>SI</t>
        </is>
      </c>
      <c r="K106" s="4" t="inlineStr">
        <is>
          <t>Obbligatorio</t>
        </is>
      </c>
      <c r="L106" s="5" t="inlineStr"/>
    </row>
    <row r="107">
      <c r="A107" s="4" t="inlineStr">
        <is>
          <t>28.1.09</t>
        </is>
      </c>
      <c r="B107" s="4" t="inlineStr">
        <is>
          <t>COSTI</t>
        </is>
      </c>
      <c r="C107" s="4" t="inlineStr">
        <is>
          <t>28 - Costo del personale</t>
        </is>
      </c>
      <c r="D107" s="4" t="inlineStr">
        <is>
          <t>28.1 - Retribuzioni</t>
        </is>
      </c>
      <c r="E107" s="4" t="inlineStr">
        <is>
          <t>Retribuzioni personale amministrativo</t>
        </is>
      </c>
      <c r="F107" s="4" t="inlineStr">
        <is>
          <t>C</t>
        </is>
      </c>
      <c r="G107" s="4" t="inlineStr">
        <is>
          <t>C1</t>
        </is>
      </c>
      <c r="H107" s="4" t="inlineStr">
        <is>
          <t>Retribuzioni</t>
        </is>
      </c>
      <c r="I107" s="4" t="inlineStr">
        <is>
          <t>Uscita</t>
        </is>
      </c>
      <c r="J107" s="4" t="inlineStr">
        <is>
          <t>SI</t>
        </is>
      </c>
      <c r="K107" s="4" t="inlineStr">
        <is>
          <t>Default STR</t>
        </is>
      </c>
      <c r="L107" s="5" t="inlineStr">
        <is>
          <t>Ex voce 'Retribuzione del personale - UFFICIO'</t>
        </is>
      </c>
    </row>
    <row r="108">
      <c r="A108" s="4" t="inlineStr">
        <is>
          <t>28.2.01</t>
        </is>
      </c>
      <c r="B108" s="4" t="inlineStr">
        <is>
          <t>COSTI</t>
        </is>
      </c>
      <c r="C108" s="4" t="inlineStr">
        <is>
          <t>28 - Costo del personale</t>
        </is>
      </c>
      <c r="D108" s="4" t="inlineStr">
        <is>
          <t>28.2 - Oneri sociali</t>
        </is>
      </c>
      <c r="E108" s="4" t="inlineStr">
        <is>
          <t>Contributi INPS c/azienda</t>
        </is>
      </c>
      <c r="F108" s="4" t="inlineStr">
        <is>
          <t>C</t>
        </is>
      </c>
      <c r="G108" s="4" t="inlineStr">
        <is>
          <t>C2</t>
        </is>
      </c>
      <c r="H108" s="4" t="inlineStr">
        <is>
          <t>Oneri sociali</t>
        </is>
      </c>
      <c r="I108" s="4" t="inlineStr">
        <is>
          <t>Uscita</t>
        </is>
      </c>
      <c r="J108" s="4" t="inlineStr">
        <is>
          <t>SI</t>
        </is>
      </c>
      <c r="K108" s="4" t="inlineStr">
        <is>
          <t>Obbligatorio</t>
        </is>
      </c>
      <c r="L108" s="5" t="inlineStr"/>
    </row>
    <row r="109">
      <c r="A109" s="4" t="inlineStr">
        <is>
          <t>28.2.02</t>
        </is>
      </c>
      <c r="B109" s="4" t="inlineStr">
        <is>
          <t>COSTI</t>
        </is>
      </c>
      <c r="C109" s="4" t="inlineStr">
        <is>
          <t>28 - Costo del personale</t>
        </is>
      </c>
      <c r="D109" s="4" t="inlineStr">
        <is>
          <t>28.2 - Oneri sociali</t>
        </is>
      </c>
      <c r="E109" s="4" t="inlineStr">
        <is>
          <t>Contributi INAIL</t>
        </is>
      </c>
      <c r="F109" s="4" t="inlineStr">
        <is>
          <t>C</t>
        </is>
      </c>
      <c r="G109" s="4" t="inlineStr">
        <is>
          <t>C2</t>
        </is>
      </c>
      <c r="H109" s="4" t="inlineStr">
        <is>
          <t>Oneri sociali</t>
        </is>
      </c>
      <c r="I109" s="4" t="inlineStr">
        <is>
          <t>Uscita</t>
        </is>
      </c>
      <c r="J109" s="4" t="inlineStr">
        <is>
          <t>SI</t>
        </is>
      </c>
      <c r="K109" s="4" t="inlineStr">
        <is>
          <t>Obbligatorio</t>
        </is>
      </c>
      <c r="L109" s="5" t="inlineStr"/>
    </row>
    <row r="110">
      <c r="A110" s="4" t="inlineStr">
        <is>
          <t>28.2.03</t>
        </is>
      </c>
      <c r="B110" s="4" t="inlineStr">
        <is>
          <t>COSTI</t>
        </is>
      </c>
      <c r="C110" s="4" t="inlineStr">
        <is>
          <t>28 - Costo del personale</t>
        </is>
      </c>
      <c r="D110" s="4" t="inlineStr">
        <is>
          <t>28.2 - Oneri sociali</t>
        </is>
      </c>
      <c r="E110" s="4" t="inlineStr">
        <is>
          <t>Fondi integrativi ed enti bilaterali</t>
        </is>
      </c>
      <c r="F110" s="4" t="inlineStr">
        <is>
          <t>C</t>
        </is>
      </c>
      <c r="G110" s="4" t="inlineStr">
        <is>
          <t>C2</t>
        </is>
      </c>
      <c r="H110" s="4" t="inlineStr">
        <is>
          <t>Oneri sociali</t>
        </is>
      </c>
      <c r="I110" s="4" t="inlineStr">
        <is>
          <t>Uscita</t>
        </is>
      </c>
      <c r="J110" s="4" t="inlineStr">
        <is>
          <t>SI</t>
        </is>
      </c>
      <c r="K110" s="4" t="inlineStr">
        <is>
          <t>Obbligatorio</t>
        </is>
      </c>
      <c r="L110" s="5" t="inlineStr"/>
    </row>
    <row r="111">
      <c r="A111" s="6" t="inlineStr">
        <is>
          <t>28.3.01</t>
        </is>
      </c>
      <c r="B111" s="6" t="inlineStr">
        <is>
          <t>COSTI</t>
        </is>
      </c>
      <c r="C111" s="6" t="inlineStr">
        <is>
          <t>28 - Costo del personale</t>
        </is>
      </c>
      <c r="D111" s="6" t="inlineStr">
        <is>
          <t>28.3 - Accantonamenti</t>
        </is>
      </c>
      <c r="E111" s="6" t="inlineStr">
        <is>
          <t>Accantonamento TFR di competenza</t>
        </is>
      </c>
      <c r="F111" s="6" t="inlineStr"/>
      <c r="G111" s="6" t="inlineStr"/>
      <c r="H111" s="6" t="inlineStr"/>
      <c r="I111" s="6" t="inlineStr">
        <is>
          <t>-</t>
        </is>
      </c>
      <c r="J111" s="6" t="inlineStr">
        <is>
          <t>NO</t>
        </is>
      </c>
      <c r="K111" s="6" t="inlineStr">
        <is>
          <t>Obbligatorio</t>
        </is>
      </c>
      <c r="L111" s="7" t="inlineStr">
        <is>
          <t>Fuori cash flow: Competenza; l'esborso e' 28.3.02</t>
        </is>
      </c>
    </row>
    <row r="112">
      <c r="A112" s="4" t="inlineStr">
        <is>
          <t>28.3.02</t>
        </is>
      </c>
      <c r="B112" s="4" t="inlineStr">
        <is>
          <t>COSTI</t>
        </is>
      </c>
      <c r="C112" s="4" t="inlineStr">
        <is>
          <t>28 - Costo del personale</t>
        </is>
      </c>
      <c r="D112" s="4" t="inlineStr">
        <is>
          <t>28.3 - Accantonamenti</t>
        </is>
      </c>
      <c r="E112" s="4" t="inlineStr">
        <is>
          <t>TFR corrisposto nell'anno</t>
        </is>
      </c>
      <c r="F112" s="4" t="inlineStr">
        <is>
          <t>C</t>
        </is>
      </c>
      <c r="G112" s="4" t="inlineStr">
        <is>
          <t>C3</t>
        </is>
      </c>
      <c r="H112" s="4" t="inlineStr">
        <is>
          <t>TFR corrisposto</t>
        </is>
      </c>
      <c r="I112" s="4" t="inlineStr">
        <is>
          <t>Uscita</t>
        </is>
      </c>
      <c r="J112" s="4" t="inlineStr">
        <is>
          <t>SI</t>
        </is>
      </c>
      <c r="K112" s="4" t="inlineStr">
        <is>
          <t>Obbligatorio</t>
        </is>
      </c>
      <c r="L112" s="5" t="inlineStr">
        <is>
          <t>Utilizzo del fondo: uscita finanziaria, non costo di competenza</t>
        </is>
      </c>
    </row>
    <row r="113">
      <c r="A113" s="4" t="inlineStr">
        <is>
          <t>28.4.01</t>
        </is>
      </c>
      <c r="B113" s="4" t="inlineStr">
        <is>
          <t>COSTI</t>
        </is>
      </c>
      <c r="C113" s="4" t="inlineStr">
        <is>
          <t>28 - Costo del personale</t>
        </is>
      </c>
      <c r="D113" s="4" t="inlineStr">
        <is>
          <t>28.4 - Altri costi del personale</t>
        </is>
      </c>
      <c r="E113" s="4" t="inlineStr">
        <is>
          <t>Rimborsi spese dipendenti</t>
        </is>
      </c>
      <c r="F113" s="4" t="inlineStr">
        <is>
          <t>C</t>
        </is>
      </c>
      <c r="G113" s="4" t="inlineStr">
        <is>
          <t>C4</t>
        </is>
      </c>
      <c r="H113" s="4" t="inlineStr">
        <is>
          <t>Altri costi del personale</t>
        </is>
      </c>
      <c r="I113" s="4" t="inlineStr">
        <is>
          <t>Uscita</t>
        </is>
      </c>
      <c r="J113" s="4" t="inlineStr">
        <is>
          <t>SI</t>
        </is>
      </c>
      <c r="K113" s="4" t="inlineStr">
        <is>
          <t>Obbligatorio</t>
        </is>
      </c>
      <c r="L113" s="5" t="inlineStr"/>
    </row>
    <row r="114">
      <c r="A114" s="4" t="inlineStr">
        <is>
          <t>28.4.02</t>
        </is>
      </c>
      <c r="B114" s="4" t="inlineStr">
        <is>
          <t>COSTI</t>
        </is>
      </c>
      <c r="C114" s="4" t="inlineStr">
        <is>
          <t>28 - Costo del personale</t>
        </is>
      </c>
      <c r="D114" s="4" t="inlineStr">
        <is>
          <t>28.4 - Altri costi del personale</t>
        </is>
      </c>
      <c r="E114" s="4" t="inlineStr">
        <is>
          <t>Welfare aziendale e fringe benefit</t>
        </is>
      </c>
      <c r="F114" s="4" t="inlineStr">
        <is>
          <t>C</t>
        </is>
      </c>
      <c r="G114" s="4" t="inlineStr">
        <is>
          <t>C4</t>
        </is>
      </c>
      <c r="H114" s="4" t="inlineStr">
        <is>
          <t>Altri costi del personale</t>
        </is>
      </c>
      <c r="I114" s="4" t="inlineStr">
        <is>
          <t>Uscita</t>
        </is>
      </c>
      <c r="J114" s="4" t="inlineStr">
        <is>
          <t>SI</t>
        </is>
      </c>
      <c r="K114" s="4" t="inlineStr">
        <is>
          <t>Obbligatorio</t>
        </is>
      </c>
      <c r="L114" s="5" t="inlineStr"/>
    </row>
    <row r="115">
      <c r="A115" s="4" t="inlineStr">
        <is>
          <t>28.4.03</t>
        </is>
      </c>
      <c r="B115" s="4" t="inlineStr">
        <is>
          <t>COSTI</t>
        </is>
      </c>
      <c r="C115" s="4" t="inlineStr">
        <is>
          <t>28 - Costo del personale</t>
        </is>
      </c>
      <c r="D115" s="4" t="inlineStr">
        <is>
          <t>28.4 - Altri costi del personale</t>
        </is>
      </c>
      <c r="E115" s="4" t="inlineStr">
        <is>
          <t>Buoni pasto, vitto e alloggio</t>
        </is>
      </c>
      <c r="F115" s="4" t="inlineStr">
        <is>
          <t>C</t>
        </is>
      </c>
      <c r="G115" s="4" t="inlineStr">
        <is>
          <t>C4</t>
        </is>
      </c>
      <c r="H115" s="4" t="inlineStr">
        <is>
          <t>Altri costi del personale</t>
        </is>
      </c>
      <c r="I115" s="4" t="inlineStr">
        <is>
          <t>Uscita</t>
        </is>
      </c>
      <c r="J115" s="4" t="inlineStr">
        <is>
          <t>SI</t>
        </is>
      </c>
      <c r="K115" s="4" t="inlineStr">
        <is>
          <t>Obbligatorio</t>
        </is>
      </c>
      <c r="L115" s="5" t="inlineStr"/>
    </row>
    <row r="116">
      <c r="A116" s="4" t="inlineStr">
        <is>
          <t>28.4.04</t>
        </is>
      </c>
      <c r="B116" s="4" t="inlineStr">
        <is>
          <t>COSTI</t>
        </is>
      </c>
      <c r="C116" s="4" t="inlineStr">
        <is>
          <t>28 - Costo del personale</t>
        </is>
      </c>
      <c r="D116" s="4" t="inlineStr">
        <is>
          <t>28.4 - Altri costi del personale</t>
        </is>
      </c>
      <c r="E116" s="4" t="inlineStr">
        <is>
          <t>Ricerca, selezione e tirocini</t>
        </is>
      </c>
      <c r="F116" s="4" t="inlineStr">
        <is>
          <t>C</t>
        </is>
      </c>
      <c r="G116" s="4" t="inlineStr">
        <is>
          <t>C4</t>
        </is>
      </c>
      <c r="H116" s="4" t="inlineStr">
        <is>
          <t>Altri costi del personale</t>
        </is>
      </c>
      <c r="I116" s="4" t="inlineStr">
        <is>
          <t>Uscita</t>
        </is>
      </c>
      <c r="J116" s="4" t="inlineStr">
        <is>
          <t>SI</t>
        </is>
      </c>
      <c r="K116" s="4" t="inlineStr">
        <is>
          <t>Obbligatorio</t>
        </is>
      </c>
      <c r="L116" s="5" t="inlineStr"/>
    </row>
    <row r="117">
      <c r="A117" s="4" t="inlineStr">
        <is>
          <t>28.4.05</t>
        </is>
      </c>
      <c r="B117" s="4" t="inlineStr">
        <is>
          <t>COSTI</t>
        </is>
      </c>
      <c r="C117" s="4" t="inlineStr">
        <is>
          <t>28 - Costo del personale</t>
        </is>
      </c>
      <c r="D117" s="4" t="inlineStr">
        <is>
          <t>28.4 - Altri costi del personale</t>
        </is>
      </c>
      <c r="E117" s="4" t="inlineStr">
        <is>
          <t>Altri costi per personale dipendente</t>
        </is>
      </c>
      <c r="F117" s="4" t="inlineStr">
        <is>
          <t>C</t>
        </is>
      </c>
      <c r="G117" s="4" t="inlineStr">
        <is>
          <t>C4</t>
        </is>
      </c>
      <c r="H117" s="4" t="inlineStr">
        <is>
          <t>Altri costi del personale</t>
        </is>
      </c>
      <c r="I117" s="4" t="inlineStr">
        <is>
          <t>Uscita</t>
        </is>
      </c>
      <c r="J117" s="4" t="inlineStr">
        <is>
          <t>SI</t>
        </is>
      </c>
      <c r="K117" s="4" t="inlineStr">
        <is>
          <t>Obbligatorio</t>
        </is>
      </c>
      <c r="L117" s="5" t="inlineStr"/>
    </row>
    <row r="118">
      <c r="A118" s="4" t="inlineStr">
        <is>
          <t>29.01</t>
        </is>
      </c>
      <c r="B118" s="4" t="inlineStr">
        <is>
          <t>COSTI</t>
        </is>
      </c>
      <c r="C118" s="4" t="inlineStr">
        <is>
          <t>29 - Organi sociali e collaborazioni</t>
        </is>
      </c>
      <c r="D118" s="4" t="inlineStr"/>
      <c r="E118" s="4" t="inlineStr">
        <is>
          <t>Compenso amministratore</t>
        </is>
      </c>
      <c r="F118" s="4" t="inlineStr">
        <is>
          <t>C</t>
        </is>
      </c>
      <c r="G118" s="4" t="inlineStr">
        <is>
          <t>C5</t>
        </is>
      </c>
      <c r="H118" s="4" t="inlineStr">
        <is>
          <t>Organi sociali e collaborazioni</t>
        </is>
      </c>
      <c r="I118" s="4" t="inlineStr">
        <is>
          <t>Uscita</t>
        </is>
      </c>
      <c r="J118" s="4" t="inlineStr">
        <is>
          <t>SI</t>
        </is>
      </c>
      <c r="K118" s="4" t="inlineStr">
        <is>
          <t>Default STR</t>
        </is>
      </c>
      <c r="L118" s="5" t="inlineStr"/>
    </row>
    <row r="119">
      <c r="A119" s="4" t="inlineStr">
        <is>
          <t>29.02</t>
        </is>
      </c>
      <c r="B119" s="4" t="inlineStr">
        <is>
          <t>COSTI</t>
        </is>
      </c>
      <c r="C119" s="4" t="inlineStr">
        <is>
          <t>29 - Organi sociali e collaborazioni</t>
        </is>
      </c>
      <c r="D119" s="4" t="inlineStr"/>
      <c r="E119" s="4" t="inlineStr">
        <is>
          <t>Contributi INPS gestione separata amministratore</t>
        </is>
      </c>
      <c r="F119" s="4" t="inlineStr">
        <is>
          <t>C</t>
        </is>
      </c>
      <c r="G119" s="4" t="inlineStr">
        <is>
          <t>C5</t>
        </is>
      </c>
      <c r="H119" s="4" t="inlineStr">
        <is>
          <t>Organi sociali e collaborazioni</t>
        </is>
      </c>
      <c r="I119" s="4" t="inlineStr">
        <is>
          <t>Uscita</t>
        </is>
      </c>
      <c r="J119" s="4" t="inlineStr">
        <is>
          <t>SI</t>
        </is>
      </c>
      <c r="K119" s="4" t="inlineStr">
        <is>
          <t>Default STR</t>
        </is>
      </c>
      <c r="L119" s="5" t="inlineStr"/>
    </row>
    <row r="120">
      <c r="A120" s="4" t="inlineStr">
        <is>
          <t>29.04</t>
        </is>
      </c>
      <c r="B120" s="4" t="inlineStr">
        <is>
          <t>COSTI</t>
        </is>
      </c>
      <c r="C120" s="4" t="inlineStr">
        <is>
          <t>29 - Organi sociali e collaborazioni</t>
        </is>
      </c>
      <c r="D120" s="4" t="inlineStr"/>
      <c r="E120" s="4" t="inlineStr">
        <is>
          <t>Rimborsi spese amministratore</t>
        </is>
      </c>
      <c r="F120" s="4" t="inlineStr">
        <is>
          <t>C</t>
        </is>
      </c>
      <c r="G120" s="4" t="inlineStr">
        <is>
          <t>C5</t>
        </is>
      </c>
      <c r="H120" s="4" t="inlineStr">
        <is>
          <t>Organi sociali e collaborazioni</t>
        </is>
      </c>
      <c r="I120" s="4" t="inlineStr">
        <is>
          <t>Uscita</t>
        </is>
      </c>
      <c r="J120" s="4" t="inlineStr">
        <is>
          <t>SI</t>
        </is>
      </c>
      <c r="K120" s="4" t="inlineStr">
        <is>
          <t>Default STR</t>
        </is>
      </c>
      <c r="L120" s="5" t="inlineStr"/>
    </row>
    <row r="121">
      <c r="A121" s="4" t="inlineStr">
        <is>
          <t>29.05</t>
        </is>
      </c>
      <c r="B121" s="4" t="inlineStr">
        <is>
          <t>COSTI</t>
        </is>
      </c>
      <c r="C121" s="4" t="inlineStr">
        <is>
          <t>29 - Organi sociali e collaborazioni</t>
        </is>
      </c>
      <c r="D121" s="4" t="inlineStr"/>
      <c r="E121" s="4" t="inlineStr">
        <is>
          <t>Compensi per collaborazioni e prestazioni occasionali</t>
        </is>
      </c>
      <c r="F121" s="4" t="inlineStr">
        <is>
          <t>C</t>
        </is>
      </c>
      <c r="G121" s="4" t="inlineStr">
        <is>
          <t>C5</t>
        </is>
      </c>
      <c r="H121" s="4" t="inlineStr">
        <is>
          <t>Organi sociali e collaborazioni</t>
        </is>
      </c>
      <c r="I121" s="4" t="inlineStr">
        <is>
          <t>Uscita</t>
        </is>
      </c>
      <c r="J121" s="4" t="inlineStr">
        <is>
          <t>SI</t>
        </is>
      </c>
      <c r="K121" s="4" t="inlineStr">
        <is>
          <t>Default STR</t>
        </is>
      </c>
      <c r="L121" s="5" t="inlineStr"/>
    </row>
    <row r="122">
      <c r="A122" s="4" t="inlineStr">
        <is>
          <t>30.01</t>
        </is>
      </c>
      <c r="B122" s="4" t="inlineStr">
        <is>
          <t>COSTI</t>
        </is>
      </c>
      <c r="C122" s="4" t="inlineStr">
        <is>
          <t>30 - Oneri diversi di gestione</t>
        </is>
      </c>
      <c r="D122" s="4" t="inlineStr"/>
      <c r="E122" s="4" t="inlineStr">
        <is>
          <t>Imposta di bollo</t>
        </is>
      </c>
      <c r="F122" s="4" t="inlineStr">
        <is>
          <t>E</t>
        </is>
      </c>
      <c r="G122" s="4" t="inlineStr">
        <is>
          <t>E8</t>
        </is>
      </c>
      <c r="H122" s="4" t="inlineStr">
        <is>
          <t>Tributi, assicurazioni e oneri diversi</t>
        </is>
      </c>
      <c r="I122" s="4" t="inlineStr">
        <is>
          <t>Uscita</t>
        </is>
      </c>
      <c r="J122" s="4" t="inlineStr">
        <is>
          <t>SI</t>
        </is>
      </c>
      <c r="K122" s="4" t="inlineStr">
        <is>
          <t>Default STR</t>
        </is>
      </c>
      <c r="L122" s="5" t="inlineStr"/>
    </row>
    <row r="123">
      <c r="A123" s="4" t="inlineStr">
        <is>
          <t>30.02</t>
        </is>
      </c>
      <c r="B123" s="4" t="inlineStr">
        <is>
          <t>COSTI</t>
        </is>
      </c>
      <c r="C123" s="4" t="inlineStr">
        <is>
          <t>30 - Oneri diversi di gestione</t>
        </is>
      </c>
      <c r="D123" s="4" t="inlineStr"/>
      <c r="E123" s="4" t="inlineStr">
        <is>
          <t>Tassa annuale vidimazione libri sociali</t>
        </is>
      </c>
      <c r="F123" s="4" t="inlineStr">
        <is>
          <t>E</t>
        </is>
      </c>
      <c r="G123" s="4" t="inlineStr">
        <is>
          <t>E8</t>
        </is>
      </c>
      <c r="H123" s="4" t="inlineStr">
        <is>
          <t>Tributi, assicurazioni e oneri diversi</t>
        </is>
      </c>
      <c r="I123" s="4" t="inlineStr">
        <is>
          <t>Uscita</t>
        </is>
      </c>
      <c r="J123" s="4" t="inlineStr">
        <is>
          <t>SI</t>
        </is>
      </c>
      <c r="K123" s="4" t="inlineStr">
        <is>
          <t>Default STR</t>
        </is>
      </c>
      <c r="L123" s="5" t="inlineStr"/>
    </row>
    <row r="124">
      <c r="A124" s="4" t="inlineStr">
        <is>
          <t>30.03</t>
        </is>
      </c>
      <c r="B124" s="4" t="inlineStr">
        <is>
          <t>COSTI</t>
        </is>
      </c>
      <c r="C124" s="4" t="inlineStr">
        <is>
          <t>30 - Oneri diversi di gestione</t>
        </is>
      </c>
      <c r="D124" s="4" t="inlineStr"/>
      <c r="E124" s="4" t="inlineStr">
        <is>
          <t>Diritti camerali, catastali e vari</t>
        </is>
      </c>
      <c r="F124" s="4" t="inlineStr">
        <is>
          <t>E</t>
        </is>
      </c>
      <c r="G124" s="4" t="inlineStr">
        <is>
          <t>E8</t>
        </is>
      </c>
      <c r="H124" s="4" t="inlineStr">
        <is>
          <t>Tributi, assicurazioni e oneri diversi</t>
        </is>
      </c>
      <c r="I124" s="4" t="inlineStr">
        <is>
          <t>Uscita</t>
        </is>
      </c>
      <c r="J124" s="4" t="inlineStr">
        <is>
          <t>SI</t>
        </is>
      </c>
      <c r="K124" s="4" t="inlineStr">
        <is>
          <t>Default STR</t>
        </is>
      </c>
      <c r="L124" s="5" t="inlineStr"/>
    </row>
    <row r="125">
      <c r="A125" s="4" t="inlineStr">
        <is>
          <t>30.04</t>
        </is>
      </c>
      <c r="B125" s="4" t="inlineStr">
        <is>
          <t>COSTI</t>
        </is>
      </c>
      <c r="C125" s="4" t="inlineStr">
        <is>
          <t>30 - Oneri diversi di gestione</t>
        </is>
      </c>
      <c r="D125" s="4" t="inlineStr"/>
      <c r="E125" s="4" t="inlineStr">
        <is>
          <t>Imposte comunali sugli immobili (IMU / ILIA)</t>
        </is>
      </c>
      <c r="F125" s="4" t="inlineStr">
        <is>
          <t>E</t>
        </is>
      </c>
      <c r="G125" s="4" t="inlineStr">
        <is>
          <t>E8</t>
        </is>
      </c>
      <c r="H125" s="4" t="inlineStr">
        <is>
          <t>Tributi, assicurazioni e oneri diversi</t>
        </is>
      </c>
      <c r="I125" s="4" t="inlineStr">
        <is>
          <t>Uscita</t>
        </is>
      </c>
      <c r="J125" s="4" t="inlineStr">
        <is>
          <t>SI</t>
        </is>
      </c>
      <c r="K125" s="4" t="inlineStr">
        <is>
          <t>Obbligatorio</t>
        </is>
      </c>
      <c r="L125" s="5" t="inlineStr"/>
    </row>
    <row r="126">
      <c r="A126" s="4" t="inlineStr">
        <is>
          <t>30.05</t>
        </is>
      </c>
      <c r="B126" s="4" t="inlineStr">
        <is>
          <t>COSTI</t>
        </is>
      </c>
      <c r="C126" s="4" t="inlineStr">
        <is>
          <t>30 - Oneri diversi di gestione</t>
        </is>
      </c>
      <c r="D126" s="4" t="inlineStr"/>
      <c r="E126" s="4" t="inlineStr">
        <is>
          <t>Occupazione suolo pubblico (COSAP / CUP)</t>
        </is>
      </c>
      <c r="F126" s="4" t="inlineStr">
        <is>
          <t>E</t>
        </is>
      </c>
      <c r="G126" s="4" t="inlineStr">
        <is>
          <t>E8</t>
        </is>
      </c>
      <c r="H126" s="4" t="inlineStr">
        <is>
          <t>Tributi, assicurazioni e oneri diversi</t>
        </is>
      </c>
      <c r="I126" s="4" t="inlineStr">
        <is>
          <t>Uscita</t>
        </is>
      </c>
      <c r="J126" s="4" t="inlineStr">
        <is>
          <t>SI</t>
        </is>
      </c>
      <c r="K126" s="4" t="inlineStr">
        <is>
          <t>Obbligatorio</t>
        </is>
      </c>
      <c r="L126" s="5" t="inlineStr"/>
    </row>
    <row r="127">
      <c r="A127" s="4" t="inlineStr">
        <is>
          <t>30.06</t>
        </is>
      </c>
      <c r="B127" s="4" t="inlineStr">
        <is>
          <t>COSTI</t>
        </is>
      </c>
      <c r="C127" s="4" t="inlineStr">
        <is>
          <t>30 - Oneri diversi di gestione</t>
        </is>
      </c>
      <c r="D127" s="4" t="inlineStr"/>
      <c r="E127" s="4" t="inlineStr">
        <is>
          <t>Abbonamenti, riviste e pubblicazioni</t>
        </is>
      </c>
      <c r="F127" s="4" t="inlineStr">
        <is>
          <t>E</t>
        </is>
      </c>
      <c r="G127" s="4" t="inlineStr">
        <is>
          <t>E8</t>
        </is>
      </c>
      <c r="H127" s="4" t="inlineStr">
        <is>
          <t>Tributi, assicurazioni e oneri diversi</t>
        </is>
      </c>
      <c r="I127" s="4" t="inlineStr">
        <is>
          <t>Uscita</t>
        </is>
      </c>
      <c r="J127" s="4" t="inlineStr">
        <is>
          <t>SI</t>
        </is>
      </c>
      <c r="K127" s="4" t="inlineStr">
        <is>
          <t>Default STR</t>
        </is>
      </c>
      <c r="L127" s="5" t="inlineStr"/>
    </row>
    <row r="128">
      <c r="A128" s="4" t="inlineStr">
        <is>
          <t>30.07</t>
        </is>
      </c>
      <c r="B128" s="4" t="inlineStr">
        <is>
          <t>COSTI</t>
        </is>
      </c>
      <c r="C128" s="4" t="inlineStr">
        <is>
          <t>30 - Oneri diversi di gestione</t>
        </is>
      </c>
      <c r="D128" s="4" t="inlineStr"/>
      <c r="E128" s="4" t="inlineStr">
        <is>
          <t>Quote associative di categoria</t>
        </is>
      </c>
      <c r="F128" s="4" t="inlineStr">
        <is>
          <t>E</t>
        </is>
      </c>
      <c r="G128" s="4" t="inlineStr">
        <is>
          <t>E8</t>
        </is>
      </c>
      <c r="H128" s="4" t="inlineStr">
        <is>
          <t>Tributi, assicurazioni e oneri diversi</t>
        </is>
      </c>
      <c r="I128" s="4" t="inlineStr">
        <is>
          <t>Uscita</t>
        </is>
      </c>
      <c r="J128" s="4" t="inlineStr">
        <is>
          <t>SI</t>
        </is>
      </c>
      <c r="K128" s="4" t="inlineStr">
        <is>
          <t>Default STR</t>
        </is>
      </c>
      <c r="L128" s="5" t="inlineStr"/>
    </row>
    <row r="129">
      <c r="A129" s="4" t="inlineStr">
        <is>
          <t>30.08</t>
        </is>
      </c>
      <c r="B129" s="4" t="inlineStr">
        <is>
          <t>COSTI</t>
        </is>
      </c>
      <c r="C129" s="4" t="inlineStr">
        <is>
          <t>30 - Oneri diversi di gestione</t>
        </is>
      </c>
      <c r="D129" s="4" t="inlineStr"/>
      <c r="E129" s="4" t="inlineStr">
        <is>
          <t>Assicurazioni</t>
        </is>
      </c>
      <c r="F129" s="4" t="inlineStr">
        <is>
          <t>E</t>
        </is>
      </c>
      <c r="G129" s="4" t="inlineStr">
        <is>
          <t>E8</t>
        </is>
      </c>
      <c r="H129" s="4" t="inlineStr">
        <is>
          <t>Tributi, assicurazioni e oneri diversi</t>
        </is>
      </c>
      <c r="I129" s="4" t="inlineStr">
        <is>
          <t>Uscita</t>
        </is>
      </c>
      <c r="J129" s="4" t="inlineStr">
        <is>
          <t>SI</t>
        </is>
      </c>
      <c r="K129" s="4" t="inlineStr">
        <is>
          <t>Obbligatorio</t>
        </is>
      </c>
      <c r="L129" s="5" t="inlineStr"/>
    </row>
    <row r="130">
      <c r="A130" s="4" t="inlineStr">
        <is>
          <t>30.09</t>
        </is>
      </c>
      <c r="B130" s="4" t="inlineStr">
        <is>
          <t>COSTI</t>
        </is>
      </c>
      <c r="C130" s="4" t="inlineStr">
        <is>
          <t>30 - Oneri diversi di gestione</t>
        </is>
      </c>
      <c r="D130" s="4" t="inlineStr"/>
      <c r="E130" s="4" t="inlineStr">
        <is>
          <t>Sanzioni tributarie, previdenziali e penalità</t>
        </is>
      </c>
      <c r="F130" s="4" t="inlineStr">
        <is>
          <t>E</t>
        </is>
      </c>
      <c r="G130" s="4" t="inlineStr">
        <is>
          <t>E8</t>
        </is>
      </c>
      <c r="H130" s="4" t="inlineStr">
        <is>
          <t>Tributi, assicurazioni e oneri diversi</t>
        </is>
      </c>
      <c r="I130" s="4" t="inlineStr">
        <is>
          <t>Uscita</t>
        </is>
      </c>
      <c r="J130" s="4" t="inlineStr">
        <is>
          <t>SI</t>
        </is>
      </c>
      <c r="K130" s="4" t="inlineStr">
        <is>
          <t>Default STR</t>
        </is>
      </c>
      <c r="L130" s="5" t="inlineStr">
        <is>
          <t>Costo indeducibile</t>
        </is>
      </c>
    </row>
    <row r="131">
      <c r="A131" s="4" t="inlineStr">
        <is>
          <t>30.10</t>
        </is>
      </c>
      <c r="B131" s="4" t="inlineStr">
        <is>
          <t>COSTI</t>
        </is>
      </c>
      <c r="C131" s="4" t="inlineStr">
        <is>
          <t>30 - Oneri diversi di gestione</t>
        </is>
      </c>
      <c r="D131" s="4" t="inlineStr"/>
      <c r="E131" s="4" t="inlineStr">
        <is>
          <t>Sopravvenienze passive</t>
        </is>
      </c>
      <c r="F131" s="4" t="inlineStr">
        <is>
          <t>E</t>
        </is>
      </c>
      <c r="G131" s="4" t="inlineStr">
        <is>
          <t>E8</t>
        </is>
      </c>
      <c r="H131" s="4" t="inlineStr">
        <is>
          <t>Tributi, assicurazioni e oneri diversi</t>
        </is>
      </c>
      <c r="I131" s="4" t="inlineStr">
        <is>
          <t>Uscita</t>
        </is>
      </c>
      <c r="J131" s="4" t="inlineStr">
        <is>
          <t>SI</t>
        </is>
      </c>
      <c r="K131" s="4" t="inlineStr">
        <is>
          <t>Default STR</t>
        </is>
      </c>
      <c r="L131" s="5" t="inlineStr"/>
    </row>
    <row r="132">
      <c r="A132" s="6" t="inlineStr">
        <is>
          <t>30.11</t>
        </is>
      </c>
      <c r="B132" s="6" t="inlineStr">
        <is>
          <t>COSTI</t>
        </is>
      </c>
      <c r="C132" s="6" t="inlineStr">
        <is>
          <t>30 - Oneri diversi di gestione</t>
        </is>
      </c>
      <c r="D132" s="6" t="inlineStr"/>
      <c r="E132" s="6" t="inlineStr">
        <is>
          <t>Perdite su crediti</t>
        </is>
      </c>
      <c r="F132" s="6" t="inlineStr"/>
      <c r="G132" s="6" t="inlineStr"/>
      <c r="H132" s="6" t="inlineStr"/>
      <c r="I132" s="6" t="inlineStr">
        <is>
          <t>-</t>
        </is>
      </c>
      <c r="J132" s="6" t="inlineStr">
        <is>
          <t>NO</t>
        </is>
      </c>
      <c r="K132" s="6" t="inlineStr">
        <is>
          <t>Default STR</t>
        </is>
      </c>
      <c r="L132" s="7" t="inlineStr">
        <is>
          <t>Fuori cash flow: Mancata entrata, non un'uscita</t>
        </is>
      </c>
    </row>
    <row r="133">
      <c r="A133" s="6" t="inlineStr">
        <is>
          <t>30.12</t>
        </is>
      </c>
      <c r="B133" s="6" t="inlineStr">
        <is>
          <t>COSTI</t>
        </is>
      </c>
      <c r="C133" s="6" t="inlineStr">
        <is>
          <t>30 - Oneri diversi di gestione</t>
        </is>
      </c>
      <c r="D133" s="6" t="inlineStr"/>
      <c r="E133" s="6" t="inlineStr">
        <is>
          <t>Minusvalenze da alienazione cespiti</t>
        </is>
      </c>
      <c r="F133" s="6" t="inlineStr"/>
      <c r="G133" s="6" t="inlineStr"/>
      <c r="H133" s="6" t="inlineStr"/>
      <c r="I133" s="6" t="inlineStr">
        <is>
          <t>-</t>
        </is>
      </c>
      <c r="J133" s="6" t="inlineStr">
        <is>
          <t>NO</t>
        </is>
      </c>
      <c r="K133" s="6" t="inlineStr">
        <is>
          <t>Default STR</t>
        </is>
      </c>
      <c r="L133" s="7" t="inlineStr">
        <is>
          <t>Fuori cash flow: Minusvalenza contabile</t>
        </is>
      </c>
    </row>
    <row r="134">
      <c r="A134" s="4" t="inlineStr">
        <is>
          <t>30.13</t>
        </is>
      </c>
      <c r="B134" s="4" t="inlineStr">
        <is>
          <t>COSTI</t>
        </is>
      </c>
      <c r="C134" s="4" t="inlineStr">
        <is>
          <t>30 - Oneri diversi di gestione</t>
        </is>
      </c>
      <c r="D134" s="4" t="inlineStr"/>
      <c r="E134" s="4" t="inlineStr">
        <is>
          <t>Altri oneri di gestione</t>
        </is>
      </c>
      <c r="F134" s="4" t="inlineStr">
        <is>
          <t>E</t>
        </is>
      </c>
      <c r="G134" s="4" t="inlineStr">
        <is>
          <t>E8</t>
        </is>
      </c>
      <c r="H134" s="4" t="inlineStr">
        <is>
          <t>Tributi, assicurazioni e oneri diversi</t>
        </is>
      </c>
      <c r="I134" s="4" t="inlineStr">
        <is>
          <t>Uscita</t>
        </is>
      </c>
      <c r="J134" s="4" t="inlineStr">
        <is>
          <t>SI</t>
        </is>
      </c>
      <c r="K134" s="4" t="inlineStr">
        <is>
          <t>Default STR</t>
        </is>
      </c>
      <c r="L134" s="5" t="inlineStr"/>
    </row>
    <row r="135">
      <c r="A135" s="4" t="inlineStr">
        <is>
          <t>30.14</t>
        </is>
      </c>
      <c r="B135" s="4" t="inlineStr">
        <is>
          <t>COSTI</t>
        </is>
      </c>
      <c r="C135" s="4" t="inlineStr">
        <is>
          <t>30 - Oneri diversi di gestione</t>
        </is>
      </c>
      <c r="D135" s="4" t="inlineStr"/>
      <c r="E135" s="4" t="inlineStr">
        <is>
          <t>SIAE e SCF musica d'ambiente</t>
        </is>
      </c>
      <c r="F135" s="4" t="inlineStr">
        <is>
          <t>E</t>
        </is>
      </c>
      <c r="G135" s="4" t="inlineStr">
        <is>
          <t>E8</t>
        </is>
      </c>
      <c r="H135" s="4" t="inlineStr">
        <is>
          <t>Tributi, assicurazioni e oneri diversi</t>
        </is>
      </c>
      <c r="I135" s="4" t="inlineStr">
        <is>
          <t>Uscita</t>
        </is>
      </c>
      <c r="J135" s="4" t="inlineStr">
        <is>
          <t>SI</t>
        </is>
      </c>
      <c r="K135" s="4" t="inlineStr">
        <is>
          <t>Obbligatorio</t>
        </is>
      </c>
      <c r="L135" s="5" t="inlineStr">
        <is>
          <t>Abbonamento annuale filodiffusione; la SIAE degli eventi resta in 26.09</t>
        </is>
      </c>
    </row>
    <row r="136">
      <c r="A136" s="4" t="inlineStr">
        <is>
          <t>30.15</t>
        </is>
      </c>
      <c r="B136" s="4" t="inlineStr">
        <is>
          <t>COSTI</t>
        </is>
      </c>
      <c r="C136" s="4" t="inlineStr">
        <is>
          <t>30 - Oneri diversi di gestione</t>
        </is>
      </c>
      <c r="D136" s="4" t="inlineStr"/>
      <c r="E136" s="4" t="inlineStr">
        <is>
          <t>Differenze e ammanchi di cassa</t>
        </is>
      </c>
      <c r="F136" s="4" t="inlineStr">
        <is>
          <t>E</t>
        </is>
      </c>
      <c r="G136" s="4" t="inlineStr">
        <is>
          <t>E8</t>
        </is>
      </c>
      <c r="H136" s="4" t="inlineStr">
        <is>
          <t>Tributi, assicurazioni e oneri diversi</t>
        </is>
      </c>
      <c r="I136" s="4" t="inlineStr">
        <is>
          <t>Uscita</t>
        </is>
      </c>
      <c r="J136" s="4" t="inlineStr">
        <is>
          <t>SI</t>
        </is>
      </c>
      <c r="K136" s="4" t="inlineStr">
        <is>
          <t>Obbligatorio</t>
        </is>
      </c>
      <c r="L136" s="5" t="inlineStr">
        <is>
          <t>Differenze tra fondo cassa teorico e contato</t>
        </is>
      </c>
    </row>
    <row r="137">
      <c r="A137" s="6" t="inlineStr">
        <is>
          <t>31.01</t>
        </is>
      </c>
      <c r="B137" s="6" t="inlineStr">
        <is>
          <t>COSTI</t>
        </is>
      </c>
      <c r="C137" s="6" t="inlineStr">
        <is>
          <t>31 - Ammortamenti e svalutazioni</t>
        </is>
      </c>
      <c r="D137" s="6" t="inlineStr"/>
      <c r="E137" s="6" t="inlineStr">
        <is>
          <t>Ammortamento immobilizzazioni immateriali</t>
        </is>
      </c>
      <c r="F137" s="6" t="inlineStr"/>
      <c r="G137" s="6" t="inlineStr"/>
      <c r="H137" s="6" t="inlineStr"/>
      <c r="I137" s="6" t="inlineStr">
        <is>
          <t>-</t>
        </is>
      </c>
      <c r="J137" s="6" t="inlineStr">
        <is>
          <t>NO</t>
        </is>
      </c>
      <c r="K137" s="6" t="inlineStr">
        <is>
          <t>Obbligatorio</t>
        </is>
      </c>
      <c r="L137" s="7" t="inlineStr">
        <is>
          <t>Fuori cash flow: Non tocca il conto</t>
        </is>
      </c>
    </row>
    <row r="138">
      <c r="A138" s="6" t="inlineStr">
        <is>
          <t>31.02</t>
        </is>
      </c>
      <c r="B138" s="6" t="inlineStr">
        <is>
          <t>COSTI</t>
        </is>
      </c>
      <c r="C138" s="6" t="inlineStr">
        <is>
          <t>31 - Ammortamenti e svalutazioni</t>
        </is>
      </c>
      <c r="D138" s="6" t="inlineStr"/>
      <c r="E138" s="6" t="inlineStr">
        <is>
          <t>Ammortamento migliorie su beni di terzi</t>
        </is>
      </c>
      <c r="F138" s="6" t="inlineStr"/>
      <c r="G138" s="6" t="inlineStr"/>
      <c r="H138" s="6" t="inlineStr"/>
      <c r="I138" s="6" t="inlineStr">
        <is>
          <t>-</t>
        </is>
      </c>
      <c r="J138" s="6" t="inlineStr">
        <is>
          <t>NO</t>
        </is>
      </c>
      <c r="K138" s="6" t="inlineStr">
        <is>
          <t>Obbligatorio</t>
        </is>
      </c>
      <c r="L138" s="7" t="inlineStr">
        <is>
          <t>Fuori cash flow: Non tocca il conto</t>
        </is>
      </c>
    </row>
    <row r="139">
      <c r="A139" s="6" t="inlineStr">
        <is>
          <t>31.03</t>
        </is>
      </c>
      <c r="B139" s="6" t="inlineStr">
        <is>
          <t>COSTI</t>
        </is>
      </c>
      <c r="C139" s="6" t="inlineStr">
        <is>
          <t>31 - Ammortamenti e svalutazioni</t>
        </is>
      </c>
      <c r="D139" s="6" t="inlineStr"/>
      <c r="E139" s="6" t="inlineStr">
        <is>
          <t>Ammortamento impianti e macchinari</t>
        </is>
      </c>
      <c r="F139" s="6" t="inlineStr"/>
      <c r="G139" s="6" t="inlineStr"/>
      <c r="H139" s="6" t="inlineStr"/>
      <c r="I139" s="6" t="inlineStr">
        <is>
          <t>-</t>
        </is>
      </c>
      <c r="J139" s="6" t="inlineStr">
        <is>
          <t>NO</t>
        </is>
      </c>
      <c r="K139" s="6" t="inlineStr">
        <is>
          <t>Obbligatorio</t>
        </is>
      </c>
      <c r="L139" s="7" t="inlineStr">
        <is>
          <t>Fuori cash flow: Non tocca il conto</t>
        </is>
      </c>
    </row>
    <row r="140">
      <c r="A140" s="6" t="inlineStr">
        <is>
          <t>31.04</t>
        </is>
      </c>
      <c r="B140" s="6" t="inlineStr">
        <is>
          <t>COSTI</t>
        </is>
      </c>
      <c r="C140" s="6" t="inlineStr">
        <is>
          <t>31 - Ammortamenti e svalutazioni</t>
        </is>
      </c>
      <c r="D140" s="6" t="inlineStr"/>
      <c r="E140" s="6" t="inlineStr">
        <is>
          <t>Ammortamento attrezzature</t>
        </is>
      </c>
      <c r="F140" s="6" t="inlineStr"/>
      <c r="G140" s="6" t="inlineStr"/>
      <c r="H140" s="6" t="inlineStr"/>
      <c r="I140" s="6" t="inlineStr">
        <is>
          <t>-</t>
        </is>
      </c>
      <c r="J140" s="6" t="inlineStr">
        <is>
          <t>NO</t>
        </is>
      </c>
      <c r="K140" s="6" t="inlineStr">
        <is>
          <t>Obbligatorio</t>
        </is>
      </c>
      <c r="L140" s="7" t="inlineStr">
        <is>
          <t>Fuori cash flow: Non tocca il conto</t>
        </is>
      </c>
    </row>
    <row r="141">
      <c r="A141" s="6" t="inlineStr">
        <is>
          <t>31.05</t>
        </is>
      </c>
      <c r="B141" s="6" t="inlineStr">
        <is>
          <t>COSTI</t>
        </is>
      </c>
      <c r="C141" s="6" t="inlineStr">
        <is>
          <t>31 - Ammortamenti e svalutazioni</t>
        </is>
      </c>
      <c r="D141" s="6" t="inlineStr"/>
      <c r="E141" s="6" t="inlineStr">
        <is>
          <t>Ammortamento mobili e arredi</t>
        </is>
      </c>
      <c r="F141" s="6" t="inlineStr"/>
      <c r="G141" s="6" t="inlineStr"/>
      <c r="H141" s="6" t="inlineStr"/>
      <c r="I141" s="6" t="inlineStr">
        <is>
          <t>-</t>
        </is>
      </c>
      <c r="J141" s="6" t="inlineStr">
        <is>
          <t>NO</t>
        </is>
      </c>
      <c r="K141" s="6" t="inlineStr">
        <is>
          <t>Obbligatorio</t>
        </is>
      </c>
      <c r="L141" s="7" t="inlineStr">
        <is>
          <t>Fuori cash flow: Non tocca il conto</t>
        </is>
      </c>
    </row>
    <row r="142">
      <c r="A142" s="6" t="inlineStr">
        <is>
          <t>31.06</t>
        </is>
      </c>
      <c r="B142" s="6" t="inlineStr">
        <is>
          <t>COSTI</t>
        </is>
      </c>
      <c r="C142" s="6" t="inlineStr">
        <is>
          <t>31 - Ammortamenti e svalutazioni</t>
        </is>
      </c>
      <c r="D142" s="6" t="inlineStr"/>
      <c r="E142" s="6" t="inlineStr">
        <is>
          <t>Ammortamento automezzi</t>
        </is>
      </c>
      <c r="F142" s="6" t="inlineStr"/>
      <c r="G142" s="6" t="inlineStr"/>
      <c r="H142" s="6" t="inlineStr"/>
      <c r="I142" s="6" t="inlineStr">
        <is>
          <t>-</t>
        </is>
      </c>
      <c r="J142" s="6" t="inlineStr">
        <is>
          <t>NO</t>
        </is>
      </c>
      <c r="K142" s="6" t="inlineStr">
        <is>
          <t>Obbligatorio</t>
        </is>
      </c>
      <c r="L142" s="7" t="inlineStr">
        <is>
          <t>Fuori cash flow: Non tocca il conto</t>
        </is>
      </c>
    </row>
    <row r="143">
      <c r="A143" s="6" t="inlineStr">
        <is>
          <t>31.07</t>
        </is>
      </c>
      <c r="B143" s="6" t="inlineStr">
        <is>
          <t>COSTI</t>
        </is>
      </c>
      <c r="C143" s="6" t="inlineStr">
        <is>
          <t>31 - Ammortamenti e svalutazioni</t>
        </is>
      </c>
      <c r="D143" s="6" t="inlineStr"/>
      <c r="E143" s="6" t="inlineStr">
        <is>
          <t>Svalutazione crediti</t>
        </is>
      </c>
      <c r="F143" s="6" t="inlineStr"/>
      <c r="G143" s="6" t="inlineStr"/>
      <c r="H143" s="6" t="inlineStr"/>
      <c r="I143" s="6" t="inlineStr">
        <is>
          <t>-</t>
        </is>
      </c>
      <c r="J143" s="6" t="inlineStr">
        <is>
          <t>NO</t>
        </is>
      </c>
      <c r="K143" s="6" t="inlineStr">
        <is>
          <t>Default STR</t>
        </is>
      </c>
      <c r="L143" s="7" t="inlineStr">
        <is>
          <t>Fuori cash flow: Non tocca il conto</t>
        </is>
      </c>
    </row>
    <row r="144">
      <c r="A144" s="4" t="inlineStr">
        <is>
          <t>32.1.01</t>
        </is>
      </c>
      <c r="B144" s="4" t="inlineStr">
        <is>
          <t>COSTI</t>
        </is>
      </c>
      <c r="C144" s="4" t="inlineStr">
        <is>
          <t>32 - Oneri finanziari</t>
        </is>
      </c>
      <c r="D144" s="4" t="inlineStr">
        <is>
          <t>32.1 - Interessi passivi</t>
        </is>
      </c>
      <c r="E144" s="4" t="inlineStr">
        <is>
          <t>Interessi su mutui</t>
        </is>
      </c>
      <c r="F144" s="4" t="inlineStr">
        <is>
          <t>F</t>
        </is>
      </c>
      <c r="G144" s="4" t="inlineStr">
        <is>
          <t>F1</t>
        </is>
      </c>
      <c r="H144" s="4" t="inlineStr">
        <is>
          <t>Interessi passivi</t>
        </is>
      </c>
      <c r="I144" s="4" t="inlineStr">
        <is>
          <t>Uscita</t>
        </is>
      </c>
      <c r="J144" s="4" t="inlineStr">
        <is>
          <t>SI</t>
        </is>
      </c>
      <c r="K144" s="4" t="inlineStr">
        <is>
          <t>Default STR</t>
        </is>
      </c>
      <c r="L144" s="5" t="inlineStr"/>
    </row>
    <row r="145">
      <c r="A145" s="4" t="inlineStr">
        <is>
          <t>32.1.02</t>
        </is>
      </c>
      <c r="B145" s="4" t="inlineStr">
        <is>
          <t>COSTI</t>
        </is>
      </c>
      <c r="C145" s="4" t="inlineStr">
        <is>
          <t>32 - Oneri finanziari</t>
        </is>
      </c>
      <c r="D145" s="4" t="inlineStr">
        <is>
          <t>32.1 - Interessi passivi</t>
        </is>
      </c>
      <c r="E145" s="4" t="inlineStr">
        <is>
          <t>Interessi su finanziamenti e conti correnti</t>
        </is>
      </c>
      <c r="F145" s="4" t="inlineStr">
        <is>
          <t>F</t>
        </is>
      </c>
      <c r="G145" s="4" t="inlineStr">
        <is>
          <t>F1</t>
        </is>
      </c>
      <c r="H145" s="4" t="inlineStr">
        <is>
          <t>Interessi passivi</t>
        </is>
      </c>
      <c r="I145" s="4" t="inlineStr">
        <is>
          <t>Uscita</t>
        </is>
      </c>
      <c r="J145" s="4" t="inlineStr">
        <is>
          <t>SI</t>
        </is>
      </c>
      <c r="K145" s="4" t="inlineStr">
        <is>
          <t>Default STR</t>
        </is>
      </c>
      <c r="L145" s="5" t="inlineStr"/>
    </row>
    <row r="146">
      <c r="A146" s="4" t="inlineStr">
        <is>
          <t>32.1.03</t>
        </is>
      </c>
      <c r="B146" s="4" t="inlineStr">
        <is>
          <t>COSTI</t>
        </is>
      </c>
      <c r="C146" s="4" t="inlineStr">
        <is>
          <t>32 - Oneri finanziari</t>
        </is>
      </c>
      <c r="D146" s="4" t="inlineStr">
        <is>
          <t>32.1 - Interessi passivi</t>
        </is>
      </c>
      <c r="E146" s="4" t="inlineStr">
        <is>
          <t>Interessi di mora verso fornitori</t>
        </is>
      </c>
      <c r="F146" s="4" t="inlineStr">
        <is>
          <t>F</t>
        </is>
      </c>
      <c r="G146" s="4" t="inlineStr">
        <is>
          <t>F1</t>
        </is>
      </c>
      <c r="H146" s="4" t="inlineStr">
        <is>
          <t>Interessi passivi</t>
        </is>
      </c>
      <c r="I146" s="4" t="inlineStr">
        <is>
          <t>Uscita</t>
        </is>
      </c>
      <c r="J146" s="4" t="inlineStr">
        <is>
          <t>SI</t>
        </is>
      </c>
      <c r="K146" s="4" t="inlineStr">
        <is>
          <t>Default STR</t>
        </is>
      </c>
      <c r="L146" s="5" t="inlineStr"/>
    </row>
    <row r="147">
      <c r="A147" s="4" t="inlineStr">
        <is>
          <t>32.1.04</t>
        </is>
      </c>
      <c r="B147" s="4" t="inlineStr">
        <is>
          <t>COSTI</t>
        </is>
      </c>
      <c r="C147" s="4" t="inlineStr">
        <is>
          <t>32 - Oneri finanziari</t>
        </is>
      </c>
      <c r="D147" s="4" t="inlineStr">
        <is>
          <t>32.1 - Interessi passivi</t>
        </is>
      </c>
      <c r="E147" s="4" t="inlineStr">
        <is>
          <t>Interessi da ravvedimento operoso</t>
        </is>
      </c>
      <c r="F147" s="4" t="inlineStr">
        <is>
          <t>F</t>
        </is>
      </c>
      <c r="G147" s="4" t="inlineStr">
        <is>
          <t>F1</t>
        </is>
      </c>
      <c r="H147" s="4" t="inlineStr">
        <is>
          <t>Interessi passivi</t>
        </is>
      </c>
      <c r="I147" s="4" t="inlineStr">
        <is>
          <t>Uscita</t>
        </is>
      </c>
      <c r="J147" s="4" t="inlineStr">
        <is>
          <t>SI</t>
        </is>
      </c>
      <c r="K147" s="4" t="inlineStr">
        <is>
          <t>Default STR</t>
        </is>
      </c>
      <c r="L147" s="5" t="inlineStr"/>
    </row>
    <row r="148">
      <c r="A148" s="4" t="inlineStr">
        <is>
          <t>32.2.01</t>
        </is>
      </c>
      <c r="B148" s="4" t="inlineStr">
        <is>
          <t>COSTI</t>
        </is>
      </c>
      <c r="C148" s="4" t="inlineStr">
        <is>
          <t>32 - Oneri finanziari</t>
        </is>
      </c>
      <c r="D148" s="4" t="inlineStr">
        <is>
          <t>32.2 - Spese e servizi bancari</t>
        </is>
      </c>
      <c r="E148" s="4" t="inlineStr">
        <is>
          <t>Spese di tenuta conto e servizi bancari</t>
        </is>
      </c>
      <c r="F148" s="4" t="inlineStr">
        <is>
          <t>F</t>
        </is>
      </c>
      <c r="G148" s="4" t="inlineStr">
        <is>
          <t>F2</t>
        </is>
      </c>
      <c r="H148" s="4" t="inlineStr">
        <is>
          <t>Spese e servizi bancari</t>
        </is>
      </c>
      <c r="I148" s="4" t="inlineStr">
        <is>
          <t>Uscita</t>
        </is>
      </c>
      <c r="J148" s="4" t="inlineStr">
        <is>
          <t>SI</t>
        </is>
      </c>
      <c r="K148" s="4" t="inlineStr">
        <is>
          <t>Default STR</t>
        </is>
      </c>
      <c r="L148" s="5" t="inlineStr"/>
    </row>
    <row r="149">
      <c r="A149" s="4" t="inlineStr">
        <is>
          <t>32.2.02</t>
        </is>
      </c>
      <c r="B149" s="4" t="inlineStr">
        <is>
          <t>COSTI</t>
        </is>
      </c>
      <c r="C149" s="4" t="inlineStr">
        <is>
          <t>32 - Oneri finanziari</t>
        </is>
      </c>
      <c r="D149" s="4" t="inlineStr">
        <is>
          <t>32.2 - Spese e servizi bancari</t>
        </is>
      </c>
      <c r="E149" s="4" t="inlineStr">
        <is>
          <t>Commissioni su bonifici</t>
        </is>
      </c>
      <c r="F149" s="4" t="inlineStr">
        <is>
          <t>F</t>
        </is>
      </c>
      <c r="G149" s="4" t="inlineStr">
        <is>
          <t>F2</t>
        </is>
      </c>
      <c r="H149" s="4" t="inlineStr">
        <is>
          <t>Spese e servizi bancari</t>
        </is>
      </c>
      <c r="I149" s="4" t="inlineStr">
        <is>
          <t>Uscita</t>
        </is>
      </c>
      <c r="J149" s="4" t="inlineStr">
        <is>
          <t>SI</t>
        </is>
      </c>
      <c r="K149" s="4" t="inlineStr">
        <is>
          <t>Default STR</t>
        </is>
      </c>
      <c r="L149" s="5" t="inlineStr"/>
    </row>
    <row r="150">
      <c r="A150" s="4" t="inlineStr">
        <is>
          <t>32.2.03</t>
        </is>
      </c>
      <c r="B150" s="4" t="inlineStr">
        <is>
          <t>COSTI</t>
        </is>
      </c>
      <c r="C150" s="4" t="inlineStr">
        <is>
          <t>32 - Oneri finanziari</t>
        </is>
      </c>
      <c r="D150" s="4" t="inlineStr">
        <is>
          <t>32.2 - Spese e servizi bancari</t>
        </is>
      </c>
      <c r="E150" s="4" t="inlineStr">
        <is>
          <t>Commissioni RID / SDD</t>
        </is>
      </c>
      <c r="F150" s="4" t="inlineStr">
        <is>
          <t>F</t>
        </is>
      </c>
      <c r="G150" s="4" t="inlineStr">
        <is>
          <t>F2</t>
        </is>
      </c>
      <c r="H150" s="4" t="inlineStr">
        <is>
          <t>Spese e servizi bancari</t>
        </is>
      </c>
      <c r="I150" s="4" t="inlineStr">
        <is>
          <t>Uscita</t>
        </is>
      </c>
      <c r="J150" s="4" t="inlineStr">
        <is>
          <t>SI</t>
        </is>
      </c>
      <c r="K150" s="4" t="inlineStr">
        <is>
          <t>Default STR</t>
        </is>
      </c>
      <c r="L150" s="5" t="inlineStr"/>
    </row>
    <row r="151">
      <c r="A151" s="4" t="inlineStr">
        <is>
          <t>32.2.04</t>
        </is>
      </c>
      <c r="B151" s="4" t="inlineStr">
        <is>
          <t>COSTI</t>
        </is>
      </c>
      <c r="C151" s="4" t="inlineStr">
        <is>
          <t>32 - Oneri finanziari</t>
        </is>
      </c>
      <c r="D151" s="4" t="inlineStr">
        <is>
          <t>32.2 - Spese e servizi bancari</t>
        </is>
      </c>
      <c r="E151" s="4" t="inlineStr">
        <is>
          <t>Canoni POS e servizi di incasso</t>
        </is>
      </c>
      <c r="F151" s="4" t="inlineStr">
        <is>
          <t>F</t>
        </is>
      </c>
      <c r="G151" s="4" t="inlineStr">
        <is>
          <t>F2</t>
        </is>
      </c>
      <c r="H151" s="4" t="inlineStr">
        <is>
          <t>Spese e servizi bancari</t>
        </is>
      </c>
      <c r="I151" s="4" t="inlineStr">
        <is>
          <t>Uscita</t>
        </is>
      </c>
      <c r="J151" s="4" t="inlineStr">
        <is>
          <t>SI</t>
        </is>
      </c>
      <c r="K151" s="4" t="inlineStr">
        <is>
          <t>Obbligatorio</t>
        </is>
      </c>
      <c r="L151" s="5" t="inlineStr">
        <is>
          <t>Canone fisso terminali; le commissioni restano nel gruppo 32.3</t>
        </is>
      </c>
    </row>
    <row r="152">
      <c r="A152" s="4" t="inlineStr">
        <is>
          <t>32.3.01</t>
        </is>
      </c>
      <c r="B152" s="4" t="inlineStr">
        <is>
          <t>COSTI</t>
        </is>
      </c>
      <c r="C152" s="4" t="inlineStr">
        <is>
          <t>32 - Oneri finanziari</t>
        </is>
      </c>
      <c r="D152" s="4" t="inlineStr">
        <is>
          <t>32.3 - Commissioni su incassi elettronici</t>
        </is>
      </c>
      <c r="E152" s="4" t="inlineStr">
        <is>
          <t>Commissioni Pagobancomat</t>
        </is>
      </c>
      <c r="F152" s="4" t="inlineStr">
        <is>
          <t>F</t>
        </is>
      </c>
      <c r="G152" s="4" t="inlineStr">
        <is>
          <t>F3</t>
        </is>
      </c>
      <c r="H152" s="4" t="inlineStr">
        <is>
          <t>Commissioni su incassi</t>
        </is>
      </c>
      <c r="I152" s="4" t="inlineStr">
        <is>
          <t>Uscita</t>
        </is>
      </c>
      <c r="J152" s="4" t="inlineStr">
        <is>
          <t>SI</t>
        </is>
      </c>
      <c r="K152" s="4" t="inlineStr">
        <is>
          <t>Obbligatorio</t>
        </is>
      </c>
      <c r="L152" s="5" t="inlineStr"/>
    </row>
    <row r="153">
      <c r="A153" s="4" t="inlineStr">
        <is>
          <t>32.3.02</t>
        </is>
      </c>
      <c r="B153" s="4" t="inlineStr">
        <is>
          <t>COSTI</t>
        </is>
      </c>
      <c r="C153" s="4" t="inlineStr">
        <is>
          <t>32 - Oneri finanziari</t>
        </is>
      </c>
      <c r="D153" s="4" t="inlineStr">
        <is>
          <t>32.3 - Commissioni su incassi elettronici</t>
        </is>
      </c>
      <c r="E153" s="4" t="inlineStr">
        <is>
          <t>Commissioni carte internazionali</t>
        </is>
      </c>
      <c r="F153" s="4" t="inlineStr">
        <is>
          <t>F</t>
        </is>
      </c>
      <c r="G153" s="4" t="inlineStr">
        <is>
          <t>F3</t>
        </is>
      </c>
      <c r="H153" s="4" t="inlineStr">
        <is>
          <t>Commissioni su incassi</t>
        </is>
      </c>
      <c r="I153" s="4" t="inlineStr">
        <is>
          <t>Uscita</t>
        </is>
      </c>
      <c r="J153" s="4" t="inlineStr">
        <is>
          <t>SI</t>
        </is>
      </c>
      <c r="K153" s="4" t="inlineStr">
        <is>
          <t>Obbligatorio</t>
        </is>
      </c>
      <c r="L153" s="5" t="inlineStr"/>
    </row>
    <row r="154">
      <c r="A154" s="4" t="inlineStr">
        <is>
          <t>32.3.03</t>
        </is>
      </c>
      <c r="B154" s="4" t="inlineStr">
        <is>
          <t>COSTI</t>
        </is>
      </c>
      <c r="C154" s="4" t="inlineStr">
        <is>
          <t>32 - Oneri finanziari</t>
        </is>
      </c>
      <c r="D154" s="4" t="inlineStr">
        <is>
          <t>32.3 - Commissioni su incassi elettronici</t>
        </is>
      </c>
      <c r="E154" s="4" t="inlineStr">
        <is>
          <t>Commissioni SumUp</t>
        </is>
      </c>
      <c r="F154" s="4" t="inlineStr">
        <is>
          <t>F</t>
        </is>
      </c>
      <c r="G154" s="4" t="inlineStr">
        <is>
          <t>F3</t>
        </is>
      </c>
      <c r="H154" s="4" t="inlineStr">
        <is>
          <t>Commissioni su incassi</t>
        </is>
      </c>
      <c r="I154" s="4" t="inlineStr">
        <is>
          <t>Uscita</t>
        </is>
      </c>
      <c r="J154" s="4" t="inlineStr">
        <is>
          <t>SI</t>
        </is>
      </c>
      <c r="K154" s="4" t="inlineStr">
        <is>
          <t>Obbligatorio</t>
        </is>
      </c>
      <c r="L154" s="5" t="inlineStr"/>
    </row>
    <row r="155">
      <c r="A155" s="4" t="inlineStr">
        <is>
          <t>32.3.04</t>
        </is>
      </c>
      <c r="B155" s="4" t="inlineStr">
        <is>
          <t>COSTI</t>
        </is>
      </c>
      <c r="C155" s="4" t="inlineStr">
        <is>
          <t>32 - Oneri finanziari</t>
        </is>
      </c>
      <c r="D155" s="4" t="inlineStr">
        <is>
          <t>32.3 - Commissioni su incassi elettronici</t>
        </is>
      </c>
      <c r="E155" s="4" t="inlineStr">
        <is>
          <t>Commissioni Axerve</t>
        </is>
      </c>
      <c r="F155" s="4" t="inlineStr">
        <is>
          <t>F</t>
        </is>
      </c>
      <c r="G155" s="4" t="inlineStr">
        <is>
          <t>F3</t>
        </is>
      </c>
      <c r="H155" s="4" t="inlineStr">
        <is>
          <t>Commissioni su incassi</t>
        </is>
      </c>
      <c r="I155" s="4" t="inlineStr">
        <is>
          <t>Uscita</t>
        </is>
      </c>
      <c r="J155" s="4" t="inlineStr">
        <is>
          <t>SI</t>
        </is>
      </c>
      <c r="K155" s="4" t="inlineStr">
        <is>
          <t>Obbligatorio</t>
        </is>
      </c>
      <c r="L155" s="5" t="inlineStr"/>
    </row>
    <row r="156">
      <c r="A156" s="4" t="inlineStr">
        <is>
          <t>32.3.05</t>
        </is>
      </c>
      <c r="B156" s="4" t="inlineStr">
        <is>
          <t>COSTI</t>
        </is>
      </c>
      <c r="C156" s="4" t="inlineStr">
        <is>
          <t>32 - Oneri finanziari</t>
        </is>
      </c>
      <c r="D156" s="4" t="inlineStr">
        <is>
          <t>32.3 - Commissioni su incassi elettronici</t>
        </is>
      </c>
      <c r="E156" s="4" t="inlineStr">
        <is>
          <t>Commissioni altri PSP e buoni pasto</t>
        </is>
      </c>
      <c r="F156" s="4" t="inlineStr">
        <is>
          <t>F</t>
        </is>
      </c>
      <c r="G156" s="4" t="inlineStr">
        <is>
          <t>F3</t>
        </is>
      </c>
      <c r="H156" s="4" t="inlineStr">
        <is>
          <t>Commissioni su incassi</t>
        </is>
      </c>
      <c r="I156" s="4" t="inlineStr">
        <is>
          <t>Uscita</t>
        </is>
      </c>
      <c r="J156" s="4" t="inlineStr">
        <is>
          <t>SI</t>
        </is>
      </c>
      <c r="K156" s="4" t="inlineStr">
        <is>
          <t>Obbligatorio</t>
        </is>
      </c>
      <c r="L156" s="5" t="inlineStr"/>
    </row>
    <row r="157">
      <c r="A157" s="6" t="inlineStr">
        <is>
          <t>33.01</t>
        </is>
      </c>
      <c r="B157" s="6" t="inlineStr">
        <is>
          <t>COSTI</t>
        </is>
      </c>
      <c r="C157" s="6" t="inlineStr">
        <is>
          <t>33 - Imposte sul reddito</t>
        </is>
      </c>
      <c r="D157" s="6" t="inlineStr"/>
      <c r="E157" s="6" t="inlineStr">
        <is>
          <t>IRES</t>
        </is>
      </c>
      <c r="F157" s="6" t="inlineStr"/>
      <c r="G157" s="6" t="inlineStr"/>
      <c r="H157" s="6" t="inlineStr"/>
      <c r="I157" s="6" t="inlineStr">
        <is>
          <t>-</t>
        </is>
      </c>
      <c r="J157" s="6" t="inlineStr">
        <is>
          <t>NO</t>
        </is>
      </c>
      <c r="K157" s="6" t="inlineStr">
        <is>
          <t>Default STR</t>
        </is>
      </c>
      <c r="L157" s="7" t="inlineStr">
        <is>
          <t>Fuori cash flow: Competenza; il versamento e' 40.3.02</t>
        </is>
      </c>
    </row>
    <row r="158">
      <c r="A158" s="6" t="inlineStr">
        <is>
          <t>33.02</t>
        </is>
      </c>
      <c r="B158" s="6" t="inlineStr">
        <is>
          <t>COSTI</t>
        </is>
      </c>
      <c r="C158" s="6" t="inlineStr">
        <is>
          <t>33 - Imposte sul reddito</t>
        </is>
      </c>
      <c r="D158" s="6" t="inlineStr"/>
      <c r="E158" s="6" t="inlineStr">
        <is>
          <t>IRAP</t>
        </is>
      </c>
      <c r="F158" s="6" t="inlineStr"/>
      <c r="G158" s="6" t="inlineStr"/>
      <c r="H158" s="6" t="inlineStr"/>
      <c r="I158" s="6" t="inlineStr">
        <is>
          <t>-</t>
        </is>
      </c>
      <c r="J158" s="6" t="inlineStr">
        <is>
          <t>NO</t>
        </is>
      </c>
      <c r="K158" s="6" t="inlineStr">
        <is>
          <t>Default STR</t>
        </is>
      </c>
      <c r="L158" s="7" t="inlineStr">
        <is>
          <t>Fuori cash flow: Competenza; il versamento e' 40.3.02</t>
        </is>
      </c>
    </row>
    <row r="159">
      <c r="A159" s="6" t="inlineStr">
        <is>
          <t>33.03</t>
        </is>
      </c>
      <c r="B159" s="6" t="inlineStr">
        <is>
          <t>COSTI</t>
        </is>
      </c>
      <c r="C159" s="6" t="inlineStr">
        <is>
          <t>33 - Imposte sul reddito</t>
        </is>
      </c>
      <c r="D159" s="6" t="inlineStr"/>
      <c r="E159" s="6" t="inlineStr">
        <is>
          <t>Imposte relative a esercizi precedenti</t>
        </is>
      </c>
      <c r="F159" s="6" t="inlineStr"/>
      <c r="G159" s="6" t="inlineStr"/>
      <c r="H159" s="6" t="inlineStr"/>
      <c r="I159" s="6" t="inlineStr">
        <is>
          <t>-</t>
        </is>
      </c>
      <c r="J159" s="6" t="inlineStr">
        <is>
          <t>NO</t>
        </is>
      </c>
      <c r="K159" s="6" t="inlineStr">
        <is>
          <t>Default STR</t>
        </is>
      </c>
      <c r="L159" s="7" t="inlineStr">
        <is>
          <t>Fuori cash flow: Competenza; il versamento e' 40.3.02</t>
        </is>
      </c>
    </row>
    <row r="160">
      <c r="A160" s="4" t="inlineStr">
        <is>
          <t>40.1.01</t>
        </is>
      </c>
      <c r="B160" s="4" t="inlineStr">
        <is>
          <t>PATRIMONIALE</t>
        </is>
      </c>
      <c r="C160" s="4" t="inlineStr">
        <is>
          <t>40 - Movimenti finanziari e patrimoniali</t>
        </is>
      </c>
      <c r="D160" s="4" t="inlineStr">
        <is>
          <t>40.1 - Investimenti</t>
        </is>
      </c>
      <c r="E160" s="4" t="inlineStr">
        <is>
          <t>Acquisto immobilizzazioni materiali</t>
        </is>
      </c>
      <c r="F160" s="4" t="inlineStr">
        <is>
          <t>H</t>
        </is>
      </c>
      <c r="G160" s="4" t="inlineStr">
        <is>
          <t>H1</t>
        </is>
      </c>
      <c r="H160" s="4" t="inlineStr">
        <is>
          <t>Acquisto immobilizzazioni</t>
        </is>
      </c>
      <c r="I160" s="4" t="inlineStr">
        <is>
          <t>Uscita</t>
        </is>
      </c>
      <c r="J160" s="4" t="inlineStr">
        <is>
          <t>SI</t>
        </is>
      </c>
      <c r="K160" s="4" t="inlineStr">
        <is>
          <t>Obbligatorio</t>
        </is>
      </c>
      <c r="L160" s="5" t="inlineStr"/>
    </row>
    <row r="161">
      <c r="A161" s="4" t="inlineStr">
        <is>
          <t>40.1.02</t>
        </is>
      </c>
      <c r="B161" s="4" t="inlineStr">
        <is>
          <t>PATRIMONIALE</t>
        </is>
      </c>
      <c r="C161" s="4" t="inlineStr">
        <is>
          <t>40 - Movimenti finanziari e patrimoniali</t>
        </is>
      </c>
      <c r="D161" s="4" t="inlineStr">
        <is>
          <t>40.1 - Investimenti</t>
        </is>
      </c>
      <c r="E161" s="4" t="inlineStr">
        <is>
          <t>Acquisto immobilizzazioni immateriali</t>
        </is>
      </c>
      <c r="F161" s="4" t="inlineStr">
        <is>
          <t>H</t>
        </is>
      </c>
      <c r="G161" s="4" t="inlineStr">
        <is>
          <t>H1</t>
        </is>
      </c>
      <c r="H161" s="4" t="inlineStr">
        <is>
          <t>Acquisto immobilizzazioni</t>
        </is>
      </c>
      <c r="I161" s="4" t="inlineStr">
        <is>
          <t>Uscita</t>
        </is>
      </c>
      <c r="J161" s="4" t="inlineStr">
        <is>
          <t>SI</t>
        </is>
      </c>
      <c r="K161" s="4" t="inlineStr">
        <is>
          <t>Obbligatorio</t>
        </is>
      </c>
      <c r="L161" s="5" t="inlineStr"/>
    </row>
    <row r="162">
      <c r="A162" s="4" t="inlineStr">
        <is>
          <t>40.1.03</t>
        </is>
      </c>
      <c r="B162" s="4" t="inlineStr">
        <is>
          <t>PATRIMONIALE</t>
        </is>
      </c>
      <c r="C162" s="4" t="inlineStr">
        <is>
          <t>40 - Movimenti finanziari e patrimoniali</t>
        </is>
      </c>
      <c r="D162" s="4" t="inlineStr">
        <is>
          <t>40.1 - Investimenti</t>
        </is>
      </c>
      <c r="E162" s="4" t="inlineStr">
        <is>
          <t>Migliorie su beni di terzi</t>
        </is>
      </c>
      <c r="F162" s="4" t="inlineStr">
        <is>
          <t>H</t>
        </is>
      </c>
      <c r="G162" s="4" t="inlineStr">
        <is>
          <t>H1</t>
        </is>
      </c>
      <c r="H162" s="4" t="inlineStr">
        <is>
          <t>Acquisto immobilizzazioni</t>
        </is>
      </c>
      <c r="I162" s="4" t="inlineStr">
        <is>
          <t>Uscita</t>
        </is>
      </c>
      <c r="J162" s="4" t="inlineStr">
        <is>
          <t>SI</t>
        </is>
      </c>
      <c r="K162" s="4" t="inlineStr">
        <is>
          <t>Obbligatorio</t>
        </is>
      </c>
      <c r="L162" s="5" t="inlineStr"/>
    </row>
    <row r="163">
      <c r="A163" s="4" t="inlineStr">
        <is>
          <t>40.1.04</t>
        </is>
      </c>
      <c r="B163" s="4" t="inlineStr">
        <is>
          <t>PATRIMONIALE</t>
        </is>
      </c>
      <c r="C163" s="4" t="inlineStr">
        <is>
          <t>40 - Movimenti finanziari e patrimoniali</t>
        </is>
      </c>
      <c r="D163" s="4" t="inlineStr">
        <is>
          <t>40.1 - Investimenti</t>
        </is>
      </c>
      <c r="E163" s="4" t="inlineStr">
        <is>
          <t>Cessione cespiti</t>
        </is>
      </c>
      <c r="F163" s="4" t="inlineStr">
        <is>
          <t>H</t>
        </is>
      </c>
      <c r="G163" s="4" t="inlineStr">
        <is>
          <t>H2</t>
        </is>
      </c>
      <c r="H163" s="4" t="inlineStr">
        <is>
          <t>Cessione cespiti</t>
        </is>
      </c>
      <c r="I163" s="4" t="inlineStr">
        <is>
          <t>Entrata</t>
        </is>
      </c>
      <c r="J163" s="4" t="inlineStr">
        <is>
          <t>SI</t>
        </is>
      </c>
      <c r="K163" s="4" t="inlineStr">
        <is>
          <t>Obbligatorio</t>
        </is>
      </c>
      <c r="L163" s="5" t="inlineStr">
        <is>
          <t>Incasso della vendita; la plusvalenza (12.07) non e' cassa</t>
        </is>
      </c>
    </row>
    <row r="164">
      <c r="A164" s="4" t="inlineStr">
        <is>
          <t>40.2.01</t>
        </is>
      </c>
      <c r="B164" s="4" t="inlineStr">
        <is>
          <t>PATRIMONIALE</t>
        </is>
      </c>
      <c r="C164" s="4" t="inlineStr">
        <is>
          <t>40 - Movimenti finanziari e patrimoniali</t>
        </is>
      </c>
      <c r="D164" s="4" t="inlineStr">
        <is>
          <t>40.2 - Finanziamenti</t>
        </is>
      </c>
      <c r="E164" s="4" t="inlineStr">
        <is>
          <t>Rimborso capitale mutui</t>
        </is>
      </c>
      <c r="F164" s="4" t="inlineStr">
        <is>
          <t>I</t>
        </is>
      </c>
      <c r="G164" s="4" t="inlineStr">
        <is>
          <t>I1</t>
        </is>
      </c>
      <c r="H164" s="4" t="inlineStr">
        <is>
          <t>Rimborso capitale</t>
        </is>
      </c>
      <c r="I164" s="4" t="inlineStr">
        <is>
          <t>Uscita</t>
        </is>
      </c>
      <c r="J164" s="4" t="inlineStr">
        <is>
          <t>SI</t>
        </is>
      </c>
      <c r="K164" s="4" t="inlineStr">
        <is>
          <t>Default STR</t>
        </is>
      </c>
      <c r="L164" s="5" t="inlineStr">
        <is>
          <t>Solo quota capitale; gli interessi restano in 32.1.01</t>
        </is>
      </c>
    </row>
    <row r="165">
      <c r="A165" s="4" t="inlineStr">
        <is>
          <t>40.2.02</t>
        </is>
      </c>
      <c r="B165" s="4" t="inlineStr">
        <is>
          <t>PATRIMONIALE</t>
        </is>
      </c>
      <c r="C165" s="4" t="inlineStr">
        <is>
          <t>40 - Movimenti finanziari e patrimoniali</t>
        </is>
      </c>
      <c r="D165" s="4" t="inlineStr">
        <is>
          <t>40.2 - Finanziamenti</t>
        </is>
      </c>
      <c r="E165" s="4" t="inlineStr">
        <is>
          <t>Erogazione nuovi finanziamenti</t>
        </is>
      </c>
      <c r="F165" s="4" t="inlineStr">
        <is>
          <t>I</t>
        </is>
      </c>
      <c r="G165" s="4" t="inlineStr">
        <is>
          <t>I2</t>
        </is>
      </c>
      <c r="H165" s="4" t="inlineStr">
        <is>
          <t>Nuova finanza</t>
        </is>
      </c>
      <c r="I165" s="4" t="inlineStr">
        <is>
          <t>Entrata</t>
        </is>
      </c>
      <c r="J165" s="4" t="inlineStr">
        <is>
          <t>SI</t>
        </is>
      </c>
      <c r="K165" s="4" t="inlineStr">
        <is>
          <t>Default STR</t>
        </is>
      </c>
      <c r="L165" s="5" t="inlineStr"/>
    </row>
    <row r="166">
      <c r="A166" s="4" t="inlineStr">
        <is>
          <t>40.2.03</t>
        </is>
      </c>
      <c r="B166" s="4" t="inlineStr">
        <is>
          <t>PATRIMONIALE</t>
        </is>
      </c>
      <c r="C166" s="4" t="inlineStr">
        <is>
          <t>40 - Movimenti finanziari e patrimoniali</t>
        </is>
      </c>
      <c r="D166" s="4" t="inlineStr">
        <is>
          <t>40.2 - Finanziamenti</t>
        </is>
      </c>
      <c r="E166" s="4" t="inlineStr">
        <is>
          <t>Rimborso finanziamento soci</t>
        </is>
      </c>
      <c r="F166" s="4" t="inlineStr">
        <is>
          <t>I</t>
        </is>
      </c>
      <c r="G166" s="4" t="inlineStr">
        <is>
          <t>I3</t>
        </is>
      </c>
      <c r="H166" s="4" t="inlineStr">
        <is>
          <t>Soci</t>
        </is>
      </c>
      <c r="I166" s="4" t="inlineStr">
        <is>
          <t>Uscita</t>
        </is>
      </c>
      <c r="J166" s="4" t="inlineStr">
        <is>
          <t>SI</t>
        </is>
      </c>
      <c r="K166" s="4" t="inlineStr">
        <is>
          <t>Default STR</t>
        </is>
      </c>
      <c r="L166" s="5" t="inlineStr"/>
    </row>
    <row r="167">
      <c r="A167" s="4" t="inlineStr">
        <is>
          <t>40.2.04</t>
        </is>
      </c>
      <c r="B167" s="4" t="inlineStr">
        <is>
          <t>PATRIMONIALE</t>
        </is>
      </c>
      <c r="C167" s="4" t="inlineStr">
        <is>
          <t>40 - Movimenti finanziari e patrimoniali</t>
        </is>
      </c>
      <c r="D167" s="4" t="inlineStr">
        <is>
          <t>40.2 - Finanziamenti</t>
        </is>
      </c>
      <c r="E167" s="4" t="inlineStr">
        <is>
          <t>Versamento finanziamento soci</t>
        </is>
      </c>
      <c r="F167" s="4" t="inlineStr">
        <is>
          <t>I</t>
        </is>
      </c>
      <c r="G167" s="4" t="inlineStr">
        <is>
          <t>I3</t>
        </is>
      </c>
      <c r="H167" s="4" t="inlineStr">
        <is>
          <t>Soci</t>
        </is>
      </c>
      <c r="I167" s="4" t="inlineStr">
        <is>
          <t>Entrata</t>
        </is>
      </c>
      <c r="J167" s="4" t="inlineStr">
        <is>
          <t>SI</t>
        </is>
      </c>
      <c r="K167" s="4" t="inlineStr">
        <is>
          <t>Default STR</t>
        </is>
      </c>
      <c r="L167" s="5" t="inlineStr"/>
    </row>
    <row r="168">
      <c r="A168" s="4" t="inlineStr">
        <is>
          <t>40.3.01</t>
        </is>
      </c>
      <c r="B168" s="4" t="inlineStr">
        <is>
          <t>PATRIMONIALE</t>
        </is>
      </c>
      <c r="C168" s="4" t="inlineStr">
        <is>
          <t>40 - Movimenti finanziari e patrimoniali</t>
        </is>
      </c>
      <c r="D168" s="4" t="inlineStr">
        <is>
          <t>40.3 - Erario e previdenza</t>
        </is>
      </c>
      <c r="E168" s="4" t="inlineStr">
        <is>
          <t>F24 IVA versata</t>
        </is>
      </c>
      <c r="F168" s="4" t="inlineStr">
        <is>
          <t>G</t>
        </is>
      </c>
      <c r="G168" s="4" t="inlineStr">
        <is>
          <t>G3</t>
        </is>
      </c>
      <c r="H168" s="4" t="inlineStr">
        <is>
          <t>F24 IVA</t>
        </is>
      </c>
      <c r="I168" s="4" t="inlineStr">
        <is>
          <t>Uscita</t>
        </is>
      </c>
      <c r="J168" s="4" t="inlineStr">
        <is>
          <t>SI</t>
        </is>
      </c>
      <c r="K168" s="4" t="inlineStr">
        <is>
          <t>Default STR</t>
        </is>
      </c>
      <c r="L168" s="5" t="inlineStr"/>
    </row>
    <row r="169">
      <c r="A169" s="4" t="inlineStr">
        <is>
          <t>40.3.02</t>
        </is>
      </c>
      <c r="B169" s="4" t="inlineStr">
        <is>
          <t>PATRIMONIALE</t>
        </is>
      </c>
      <c r="C169" s="4" t="inlineStr">
        <is>
          <t>40 - Movimenti finanziari e patrimoniali</t>
        </is>
      </c>
      <c r="D169" s="4" t="inlineStr">
        <is>
          <t>40.3 - Erario e previdenza</t>
        </is>
      </c>
      <c r="E169" s="4" t="inlineStr">
        <is>
          <t>F24 imposte sul reddito</t>
        </is>
      </c>
      <c r="F169" s="4" t="inlineStr">
        <is>
          <t>G</t>
        </is>
      </c>
      <c r="G169" s="4" t="inlineStr">
        <is>
          <t>G4</t>
        </is>
      </c>
      <c r="H169" s="4" t="inlineStr">
        <is>
          <t>Imposte sul reddito</t>
        </is>
      </c>
      <c r="I169" s="4" t="inlineStr">
        <is>
          <t>Uscita</t>
        </is>
      </c>
      <c r="J169" s="4" t="inlineStr">
        <is>
          <t>SI</t>
        </is>
      </c>
      <c r="K169" s="4" t="inlineStr">
        <is>
          <t>Default STR</t>
        </is>
      </c>
      <c r="L169" s="5" t="inlineStr">
        <is>
          <t>Versamento di IRES e IRAP; il mastro 33 resta competenza</t>
        </is>
      </c>
    </row>
    <row r="170">
      <c r="A170" s="4" t="inlineStr">
        <is>
          <t>40.3.03</t>
        </is>
      </c>
      <c r="B170" s="4" t="inlineStr">
        <is>
          <t>PATRIMONIALE</t>
        </is>
      </c>
      <c r="C170" s="4" t="inlineStr">
        <is>
          <t>40 - Movimenti finanziari e patrimoniali</t>
        </is>
      </c>
      <c r="D170" s="4" t="inlineStr">
        <is>
          <t>40.3 - Erario e previdenza</t>
        </is>
      </c>
      <c r="E170" s="4" t="inlineStr">
        <is>
          <t>F24 ritenute e contributi</t>
        </is>
      </c>
      <c r="F170" s="4" t="inlineStr">
        <is>
          <t>G</t>
        </is>
      </c>
      <c r="G170" s="4" t="inlineStr">
        <is>
          <t>G5</t>
        </is>
      </c>
      <c r="H170" s="4" t="inlineStr">
        <is>
          <t>Ritenute e contributi</t>
        </is>
      </c>
      <c r="I170" s="4" t="inlineStr">
        <is>
          <t>Uscita</t>
        </is>
      </c>
      <c r="J170" s="4" t="inlineStr">
        <is>
          <t>SI</t>
        </is>
      </c>
      <c r="K170" s="4" t="inlineStr">
        <is>
          <t>Default STR</t>
        </is>
      </c>
      <c r="L170" s="5" t="inlineStr">
        <is>
          <t>Ricompone il lordo del personale insieme a 28.1</t>
        </is>
      </c>
    </row>
    <row r="171">
      <c r="A171" s="4" t="inlineStr">
        <is>
          <t>40.3.04</t>
        </is>
      </c>
      <c r="B171" s="4" t="inlineStr">
        <is>
          <t>PATRIMONIALE</t>
        </is>
      </c>
      <c r="C171" s="4" t="inlineStr">
        <is>
          <t>40 - Movimenti finanziari e patrimoniali</t>
        </is>
      </c>
      <c r="D171" s="4" t="inlineStr">
        <is>
          <t>40.3 - Erario e previdenza</t>
        </is>
      </c>
      <c r="E171" s="4" t="inlineStr">
        <is>
          <t>Rimborsi e crediti compensati</t>
        </is>
      </c>
      <c r="F171" s="4" t="inlineStr">
        <is>
          <t>G</t>
        </is>
      </c>
      <c r="G171" s="4" t="inlineStr">
        <is>
          <t>G3</t>
        </is>
      </c>
      <c r="H171" s="4" t="inlineStr">
        <is>
          <t>F24 IVA</t>
        </is>
      </c>
      <c r="I171" s="4" t="inlineStr">
        <is>
          <t>Entrata</t>
        </is>
      </c>
      <c r="J171" s="4" t="inlineStr">
        <is>
          <t>SI</t>
        </is>
      </c>
      <c r="K171" s="4" t="inlineStr">
        <is>
          <t>Default STR</t>
        </is>
      </c>
      <c r="L171" s="5" t="inlineStr"/>
    </row>
    <row r="172">
      <c r="A172" s="4" t="inlineStr">
        <is>
          <t>40.4.01</t>
        </is>
      </c>
      <c r="B172" s="4" t="inlineStr">
        <is>
          <t>PATRIMONIALE</t>
        </is>
      </c>
      <c r="C172" s="4" t="inlineStr">
        <is>
          <t>40 - Movimenti finanziari e patrimoniali</t>
        </is>
      </c>
      <c r="D172" s="4" t="inlineStr">
        <is>
          <t>40.4 - Tesoreria interna</t>
        </is>
      </c>
      <c r="E172" s="4" t="inlineStr">
        <is>
          <t>Versamento contanti in banca</t>
        </is>
      </c>
      <c r="F172" s="4" t="inlineStr">
        <is>
          <t>MEMO</t>
        </is>
      </c>
      <c r="G172" s="4" t="inlineStr">
        <is>
          <t>M3</t>
        </is>
      </c>
      <c r="H172" s="4" t="inlineStr">
        <is>
          <t>Tesoreria interna</t>
        </is>
      </c>
      <c r="I172" s="4" t="inlineStr">
        <is>
          <t>Neutro</t>
        </is>
      </c>
      <c r="J172" s="4" t="inlineStr">
        <is>
          <t>SI</t>
        </is>
      </c>
      <c r="K172" s="4" t="inlineStr">
        <is>
          <t>Default STR</t>
        </is>
      </c>
      <c r="L172" s="5" t="inlineStr">
        <is>
          <t>Neutro: le due gambe si elidono nel consolidato</t>
        </is>
      </c>
    </row>
    <row r="173">
      <c r="A173" s="4" t="inlineStr">
        <is>
          <t>40.4.02</t>
        </is>
      </c>
      <c r="B173" s="4" t="inlineStr">
        <is>
          <t>PATRIMONIALE</t>
        </is>
      </c>
      <c r="C173" s="4" t="inlineStr">
        <is>
          <t>40 - Movimenti finanziari e patrimoniali</t>
        </is>
      </c>
      <c r="D173" s="4" t="inlineStr">
        <is>
          <t>40.4 - Tesoreria interna</t>
        </is>
      </c>
      <c r="E173" s="4" t="inlineStr">
        <is>
          <t>Giroconti tra conti</t>
        </is>
      </c>
      <c r="F173" s="4" t="inlineStr">
        <is>
          <t>MEMO</t>
        </is>
      </c>
      <c r="G173" s="4" t="inlineStr">
        <is>
          <t>M3</t>
        </is>
      </c>
      <c r="H173" s="4" t="inlineStr">
        <is>
          <t>Tesoreria interna</t>
        </is>
      </c>
      <c r="I173" s="4" t="inlineStr">
        <is>
          <t>Neutro</t>
        </is>
      </c>
      <c r="J173" s="4" t="inlineStr">
        <is>
          <t>SI</t>
        </is>
      </c>
      <c r="K173" s="4" t="inlineStr">
        <is>
          <t>Default STR</t>
        </is>
      </c>
      <c r="L173" s="5" t="inlineStr">
        <is>
          <t>Neutro: le due gambe si elidono nel consolidato</t>
        </is>
      </c>
    </row>
  </sheetData>
  <autoFilter ref="A4:L1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P2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CASH FLOW — consuntivo</t>
        </is>
      </c>
    </row>
    <row r="2">
      <c r="A2" s="2" t="inlineStr">
        <is>
          <t>Solo movimenti che toccano cassa o banca. Entrate positive, uscite negative. Le voci di dettaglio sono nascoste: usa i pulsanti + a sinistra per aprirle.</t>
        </is>
      </c>
    </row>
    <row r="4" ht="22" customHeight="1">
      <c r="A4" s="3" t="inlineStr">
        <is>
          <t>Codice</t>
        </is>
      </c>
      <c r="B4" s="3" t="inlineStr">
        <is>
          <t>Voce</t>
        </is>
      </c>
      <c r="C4" s="8" t="inlineStr">
        <is>
          <t>GEN</t>
        </is>
      </c>
      <c r="D4" s="8" t="inlineStr">
        <is>
          <t>FEB</t>
        </is>
      </c>
      <c r="E4" s="8" t="inlineStr">
        <is>
          <t>MAR</t>
        </is>
      </c>
      <c r="F4" s="8" t="inlineStr">
        <is>
          <t>APR</t>
        </is>
      </c>
      <c r="G4" s="8" t="inlineStr">
        <is>
          <t>MAG</t>
        </is>
      </c>
      <c r="H4" s="8" t="inlineStr">
        <is>
          <t>GIU</t>
        </is>
      </c>
      <c r="I4" s="8" t="inlineStr">
        <is>
          <t>LUG</t>
        </is>
      </c>
      <c r="J4" s="8" t="inlineStr">
        <is>
          <t>AGO</t>
        </is>
      </c>
      <c r="K4" s="8" t="inlineStr">
        <is>
          <t>SET</t>
        </is>
      </c>
      <c r="L4" s="8" t="inlineStr">
        <is>
          <t>OTT</t>
        </is>
      </c>
      <c r="M4" s="8" t="inlineStr">
        <is>
          <t>NOV</t>
        </is>
      </c>
      <c r="N4" s="8" t="inlineStr">
        <is>
          <t>DIC</t>
        </is>
      </c>
      <c r="O4" s="8" t="inlineStr">
        <is>
          <t>TOTALE</t>
        </is>
      </c>
    </row>
    <row r="5">
      <c r="A5" s="9" t="inlineStr">
        <is>
          <t>A</t>
        </is>
      </c>
      <c r="B5" s="9" t="inlineStr">
        <is>
          <t>INCASSI OPERATIVI</t>
        </is>
      </c>
      <c r="C5" s="10">
        <f>SUBTOTAL(9,C6:C19)</f>
        <v/>
      </c>
      <c r="D5" s="10">
        <f>SUBTOTAL(9,D6:D19)</f>
        <v/>
      </c>
      <c r="E5" s="10">
        <f>SUBTOTAL(9,E6:E19)</f>
        <v/>
      </c>
      <c r="F5" s="10">
        <f>SUBTOTAL(9,F6:F19)</f>
        <v/>
      </c>
      <c r="G5" s="10">
        <f>SUBTOTAL(9,G6:G19)</f>
        <v/>
      </c>
      <c r="H5" s="10">
        <f>SUBTOTAL(9,H6:H19)</f>
        <v/>
      </c>
      <c r="I5" s="10">
        <f>SUBTOTAL(9,I6:I19)</f>
        <v/>
      </c>
      <c r="J5" s="10">
        <f>SUBTOTAL(9,J6:J19)</f>
        <v/>
      </c>
      <c r="K5" s="10">
        <f>SUBTOTAL(9,K6:K19)</f>
        <v/>
      </c>
      <c r="L5" s="10">
        <f>SUBTOTAL(9,L6:L19)</f>
        <v/>
      </c>
      <c r="M5" s="10">
        <f>SUBTOTAL(9,M6:M19)</f>
        <v/>
      </c>
      <c r="N5" s="10">
        <f>SUBTOTAL(9,N6:N19)</f>
        <v/>
      </c>
      <c r="O5" s="10">
        <f>SUBTOTAL(9,O6:O19)</f>
        <v/>
      </c>
    </row>
    <row r="6" outlineLevel="1">
      <c r="A6" s="11" t="inlineStr">
        <is>
          <t>A1</t>
        </is>
      </c>
      <c r="B6" s="11" t="inlineStr">
        <is>
          <t xml:space="preserve">   Corrispettivi</t>
        </is>
      </c>
      <c r="C6" s="12">
        <f>SUBTOTAL(9,C7:C8)</f>
        <v/>
      </c>
      <c r="D6" s="12">
        <f>SUBTOTAL(9,D7:D8)</f>
        <v/>
      </c>
      <c r="E6" s="12">
        <f>SUBTOTAL(9,E7:E8)</f>
        <v/>
      </c>
      <c r="F6" s="12">
        <f>SUBTOTAL(9,F7:F8)</f>
        <v/>
      </c>
      <c r="G6" s="12">
        <f>SUBTOTAL(9,G7:G8)</f>
        <v/>
      </c>
      <c r="H6" s="12">
        <f>SUBTOTAL(9,H7:H8)</f>
        <v/>
      </c>
      <c r="I6" s="12">
        <f>SUBTOTAL(9,I7:I8)</f>
        <v/>
      </c>
      <c r="J6" s="12">
        <f>SUBTOTAL(9,J7:J8)</f>
        <v/>
      </c>
      <c r="K6" s="12">
        <f>SUBTOTAL(9,K7:K8)</f>
        <v/>
      </c>
      <c r="L6" s="12">
        <f>SUBTOTAL(9,L7:L8)</f>
        <v/>
      </c>
      <c r="M6" s="12">
        <f>SUBTOTAL(9,M7:M8)</f>
        <v/>
      </c>
      <c r="N6" s="12">
        <f>SUBTOTAL(9,N7:N8)</f>
        <v/>
      </c>
      <c r="O6" s="12">
        <f>SUBTOTAL(9,O7:O8)</f>
        <v/>
      </c>
    </row>
    <row r="7" hidden="1" outlineLevel="2">
      <c r="A7" s="13" t="inlineStr">
        <is>
          <t>10.01</t>
        </is>
      </c>
      <c r="B7" s="13" t="inlineStr">
        <is>
          <t xml:space="preserve">      Corrispettivi</t>
        </is>
      </c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>
        <f>SUM(C7:N7)</f>
        <v/>
      </c>
    </row>
    <row r="8" hidden="1" outlineLevel="2">
      <c r="A8" s="13" t="inlineStr">
        <is>
          <t>10.09</t>
        </is>
      </c>
      <c r="B8" s="13" t="inlineStr">
        <is>
          <t xml:space="preserve">      Resi, sconti e abbuoni su vendite</t>
        </is>
      </c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>
        <f>SUM(C8:N8)</f>
        <v/>
      </c>
    </row>
    <row r="9" outlineLevel="1">
      <c r="A9" s="11" t="inlineStr">
        <is>
          <t>A2</t>
        </is>
      </c>
      <c r="B9" s="11" t="inlineStr">
        <is>
          <t xml:space="preserve">   Eventi</t>
        </is>
      </c>
      <c r="C9" s="12">
        <f>SUBTOTAL(9,C10:C11)</f>
        <v/>
      </c>
      <c r="D9" s="12">
        <f>SUBTOTAL(9,D10:D11)</f>
        <v/>
      </c>
      <c r="E9" s="12">
        <f>SUBTOTAL(9,E10:E11)</f>
        <v/>
      </c>
      <c r="F9" s="12">
        <f>SUBTOTAL(9,F10:F11)</f>
        <v/>
      </c>
      <c r="G9" s="12">
        <f>SUBTOTAL(9,G10:G11)</f>
        <v/>
      </c>
      <c r="H9" s="12">
        <f>SUBTOTAL(9,H10:H11)</f>
        <v/>
      </c>
      <c r="I9" s="12">
        <f>SUBTOTAL(9,I10:I11)</f>
        <v/>
      </c>
      <c r="J9" s="12">
        <f>SUBTOTAL(9,J10:J11)</f>
        <v/>
      </c>
      <c r="K9" s="12">
        <f>SUBTOTAL(9,K10:K11)</f>
        <v/>
      </c>
      <c r="L9" s="12">
        <f>SUBTOTAL(9,L10:L11)</f>
        <v/>
      </c>
      <c r="M9" s="12">
        <f>SUBTOTAL(9,M10:M11)</f>
        <v/>
      </c>
      <c r="N9" s="12">
        <f>SUBTOTAL(9,N10:N11)</f>
        <v/>
      </c>
      <c r="O9" s="12">
        <f>SUBTOTAL(9,O10:O11)</f>
        <v/>
      </c>
    </row>
    <row r="10" hidden="1" outlineLevel="2">
      <c r="A10" s="13" t="inlineStr">
        <is>
          <t>11.01</t>
        </is>
      </c>
      <c r="B10" s="13" t="inlineStr">
        <is>
          <t xml:space="preserve">      Ricavi eventi serali (ingressi e consumazioni)</t>
        </is>
      </c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>
        <f>SUM(C10:N10)</f>
        <v/>
      </c>
    </row>
    <row r="11" hidden="1" outlineLevel="2">
      <c r="A11" s="13" t="inlineStr">
        <is>
          <t>11.02</t>
        </is>
      </c>
      <c r="B11" s="13" t="inlineStr">
        <is>
          <t xml:space="preserve">      Ricavi eventi privati e compleanni</t>
        </is>
      </c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>
        <f>SUM(C11:N11)</f>
        <v/>
      </c>
    </row>
    <row r="12" outlineLevel="1">
      <c r="A12" s="11" t="inlineStr">
        <is>
          <t>A3</t>
        </is>
      </c>
      <c r="B12" s="11" t="inlineStr">
        <is>
          <t xml:space="preserve">   Altri proventi</t>
        </is>
      </c>
      <c r="C12" s="12">
        <f>SUBTOTAL(9,C13:C19)</f>
        <v/>
      </c>
      <c r="D12" s="12">
        <f>SUBTOTAL(9,D13:D19)</f>
        <v/>
      </c>
      <c r="E12" s="12">
        <f>SUBTOTAL(9,E13:E19)</f>
        <v/>
      </c>
      <c r="F12" s="12">
        <f>SUBTOTAL(9,F13:F19)</f>
        <v/>
      </c>
      <c r="G12" s="12">
        <f>SUBTOTAL(9,G13:G19)</f>
        <v/>
      </c>
      <c r="H12" s="12">
        <f>SUBTOTAL(9,H13:H19)</f>
        <v/>
      </c>
      <c r="I12" s="12">
        <f>SUBTOTAL(9,I13:I19)</f>
        <v/>
      </c>
      <c r="J12" s="12">
        <f>SUBTOTAL(9,J13:J19)</f>
        <v/>
      </c>
      <c r="K12" s="12">
        <f>SUBTOTAL(9,K13:K19)</f>
        <v/>
      </c>
      <c r="L12" s="12">
        <f>SUBTOTAL(9,L13:L19)</f>
        <v/>
      </c>
      <c r="M12" s="12">
        <f>SUBTOTAL(9,M13:M19)</f>
        <v/>
      </c>
      <c r="N12" s="12">
        <f>SUBTOTAL(9,N13:N19)</f>
        <v/>
      </c>
      <c r="O12" s="12">
        <f>SUBTOTAL(9,O13:O19)</f>
        <v/>
      </c>
    </row>
    <row r="13" hidden="1" outlineLevel="2">
      <c r="A13" s="13" t="inlineStr">
        <is>
          <t>12.01</t>
        </is>
      </c>
      <c r="B13" s="13" t="inlineStr">
        <is>
          <t xml:space="preserve">      Proventi vari</t>
        </is>
      </c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>
        <f>SUM(C13:N13)</f>
        <v/>
      </c>
    </row>
    <row r="14" hidden="1" outlineLevel="2">
      <c r="A14" s="13" t="inlineStr">
        <is>
          <t>12.02</t>
        </is>
      </c>
      <c r="B14" s="13" t="inlineStr">
        <is>
          <t xml:space="preserve">      Contributi in conto esercizio</t>
        </is>
      </c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>
        <f>SUM(C14:N14)</f>
        <v/>
      </c>
    </row>
    <row r="15" hidden="1" outlineLevel="2">
      <c r="A15" s="13" t="inlineStr">
        <is>
          <t>12.03</t>
        </is>
      </c>
      <c r="B15" s="13" t="inlineStr">
        <is>
          <t xml:space="preserve">      Rimborsi assicurativi</t>
        </is>
      </c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>
        <f>SUM(C15:N15)</f>
        <v/>
      </c>
    </row>
    <row r="16" hidden="1" outlineLevel="2">
      <c r="A16" s="13" t="inlineStr">
        <is>
          <t>12.04</t>
        </is>
      </c>
      <c r="B16" s="13" t="inlineStr">
        <is>
          <t xml:space="preserve">      Premi, bonus e contributi da fornitori</t>
        </is>
      </c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>
        <f>SUM(C16:N16)</f>
        <v/>
      </c>
    </row>
    <row r="17" hidden="1" outlineLevel="2">
      <c r="A17" s="13" t="inlineStr">
        <is>
          <t>12.06</t>
        </is>
      </c>
      <c r="B17" s="13" t="inlineStr">
        <is>
          <t xml:space="preserve">      Sopravvenienze attive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>
        <f>SUM(C17:N17)</f>
        <v/>
      </c>
    </row>
    <row r="18" hidden="1" outlineLevel="2">
      <c r="A18" s="13" t="inlineStr">
        <is>
          <t>13.01</t>
        </is>
      </c>
      <c r="B18" s="13" t="inlineStr">
        <is>
          <t xml:space="preserve">      Interessi attivi bancari</t>
        </is>
      </c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>
        <f>SUM(C18:N18)</f>
        <v/>
      </c>
    </row>
    <row r="19" hidden="1" outlineLevel="2">
      <c r="A19" s="13" t="inlineStr">
        <is>
          <t>13.02</t>
        </is>
      </c>
      <c r="B19" s="13" t="inlineStr">
        <is>
          <t xml:space="preserve">      Altri proventi finanziari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>
        <f>SUM(C19:N19)</f>
        <v/>
      </c>
    </row>
    <row r="21">
      <c r="A21" s="9" t="inlineStr">
        <is>
          <t>B</t>
        </is>
      </c>
      <c r="B21" s="9" t="inlineStr">
        <is>
          <t>COSTO DEL VENDUTO</t>
        </is>
      </c>
      <c r="C21" s="10">
        <f>SUBTOTAL(9,C22:C51)</f>
        <v/>
      </c>
      <c r="D21" s="10">
        <f>SUBTOTAL(9,D22:D51)</f>
        <v/>
      </c>
      <c r="E21" s="10">
        <f>SUBTOTAL(9,E22:E51)</f>
        <v/>
      </c>
      <c r="F21" s="10">
        <f>SUBTOTAL(9,F22:F51)</f>
        <v/>
      </c>
      <c r="G21" s="10">
        <f>SUBTOTAL(9,G22:G51)</f>
        <v/>
      </c>
      <c r="H21" s="10">
        <f>SUBTOTAL(9,H22:H51)</f>
        <v/>
      </c>
      <c r="I21" s="10">
        <f>SUBTOTAL(9,I22:I51)</f>
        <v/>
      </c>
      <c r="J21" s="10">
        <f>SUBTOTAL(9,J22:J51)</f>
        <v/>
      </c>
      <c r="K21" s="10">
        <f>SUBTOTAL(9,K22:K51)</f>
        <v/>
      </c>
      <c r="L21" s="10">
        <f>SUBTOTAL(9,L22:L51)</f>
        <v/>
      </c>
      <c r="M21" s="10">
        <f>SUBTOTAL(9,M22:M51)</f>
        <v/>
      </c>
      <c r="N21" s="10">
        <f>SUBTOTAL(9,N22:N51)</f>
        <v/>
      </c>
      <c r="O21" s="10">
        <f>SUBTOTAL(9,O22:O51)</f>
        <v/>
      </c>
    </row>
    <row r="22" outlineLevel="1">
      <c r="A22" s="11" t="inlineStr">
        <is>
          <t>B1</t>
        </is>
      </c>
      <c r="B22" s="11" t="inlineStr">
        <is>
          <t xml:space="preserve">   Beverage alcolico</t>
        </is>
      </c>
      <c r="C22" s="12">
        <f>SUBTOTAL(9,C23:C27)</f>
        <v/>
      </c>
      <c r="D22" s="12">
        <f>SUBTOTAL(9,D23:D27)</f>
        <v/>
      </c>
      <c r="E22" s="12">
        <f>SUBTOTAL(9,E23:E27)</f>
        <v/>
      </c>
      <c r="F22" s="12">
        <f>SUBTOTAL(9,F23:F27)</f>
        <v/>
      </c>
      <c r="G22" s="12">
        <f>SUBTOTAL(9,G23:G27)</f>
        <v/>
      </c>
      <c r="H22" s="12">
        <f>SUBTOTAL(9,H23:H27)</f>
        <v/>
      </c>
      <c r="I22" s="12">
        <f>SUBTOTAL(9,I23:I27)</f>
        <v/>
      </c>
      <c r="J22" s="12">
        <f>SUBTOTAL(9,J23:J27)</f>
        <v/>
      </c>
      <c r="K22" s="12">
        <f>SUBTOTAL(9,K23:K27)</f>
        <v/>
      </c>
      <c r="L22" s="12">
        <f>SUBTOTAL(9,L23:L27)</f>
        <v/>
      </c>
      <c r="M22" s="12">
        <f>SUBTOTAL(9,M23:M27)</f>
        <v/>
      </c>
      <c r="N22" s="12">
        <f>SUBTOTAL(9,N23:N27)</f>
        <v/>
      </c>
      <c r="O22" s="12">
        <f>SUBTOTAL(9,O23:O27)</f>
        <v/>
      </c>
    </row>
    <row r="23" hidden="1" outlineLevel="2">
      <c r="A23" s="13" t="inlineStr">
        <is>
          <t>20.1.01</t>
        </is>
      </c>
      <c r="B23" s="13" t="inlineStr">
        <is>
          <t xml:space="preserve">      Birra fusto</t>
        </is>
      </c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>
        <f>SUM(C23:N23)</f>
        <v/>
      </c>
    </row>
    <row r="24" hidden="1" outlineLevel="2">
      <c r="A24" s="13" t="inlineStr">
        <is>
          <t>20.1.02</t>
        </is>
      </c>
      <c r="B24" s="13" t="inlineStr">
        <is>
          <t xml:space="preserve">      Birra bottiglia e lattina</t>
        </is>
      </c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>
        <f>SUM(C24:N24)</f>
        <v/>
      </c>
    </row>
    <row r="25" hidden="1" outlineLevel="2">
      <c r="A25" s="13" t="inlineStr">
        <is>
          <t>20.1.03</t>
        </is>
      </c>
      <c r="B25" s="13" t="inlineStr">
        <is>
          <t xml:space="preserve">      Distillati e liquori</t>
        </is>
      </c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>
        <f>SUM(C25:N25)</f>
        <v/>
      </c>
    </row>
    <row r="26" hidden="1" outlineLevel="2">
      <c r="A26" s="13" t="inlineStr">
        <is>
          <t>20.1.04</t>
        </is>
      </c>
      <c r="B26" s="13" t="inlineStr">
        <is>
          <t xml:space="preserve">      Vermouth, bitter e aperitivi</t>
        </is>
      </c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>
        <f>SUM(C26:N26)</f>
        <v/>
      </c>
    </row>
    <row r="27" hidden="1" outlineLevel="2">
      <c r="A27" s="13" t="inlineStr">
        <is>
          <t>20.1.05</t>
        </is>
      </c>
      <c r="B27" s="13" t="inlineStr">
        <is>
          <t xml:space="preserve">      Vini</t>
        </is>
      </c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>
        <f>SUM(C27:N27)</f>
        <v/>
      </c>
    </row>
    <row r="28" outlineLevel="1">
      <c r="A28" s="11" t="inlineStr">
        <is>
          <t>B2</t>
        </is>
      </c>
      <c r="B28" s="11" t="inlineStr">
        <is>
          <t xml:space="preserve">   Beverage analcolico</t>
        </is>
      </c>
      <c r="C28" s="12">
        <f>SUBTOTAL(9,C29:C32)</f>
        <v/>
      </c>
      <c r="D28" s="12">
        <f>SUBTOTAL(9,D29:D32)</f>
        <v/>
      </c>
      <c r="E28" s="12">
        <f>SUBTOTAL(9,E29:E32)</f>
        <v/>
      </c>
      <c r="F28" s="12">
        <f>SUBTOTAL(9,F29:F32)</f>
        <v/>
      </c>
      <c r="G28" s="12">
        <f>SUBTOTAL(9,G29:G32)</f>
        <v/>
      </c>
      <c r="H28" s="12">
        <f>SUBTOTAL(9,H29:H32)</f>
        <v/>
      </c>
      <c r="I28" s="12">
        <f>SUBTOTAL(9,I29:I32)</f>
        <v/>
      </c>
      <c r="J28" s="12">
        <f>SUBTOTAL(9,J29:J32)</f>
        <v/>
      </c>
      <c r="K28" s="12">
        <f>SUBTOTAL(9,K29:K32)</f>
        <v/>
      </c>
      <c r="L28" s="12">
        <f>SUBTOTAL(9,L29:L32)</f>
        <v/>
      </c>
      <c r="M28" s="12">
        <f>SUBTOTAL(9,M29:M32)</f>
        <v/>
      </c>
      <c r="N28" s="12">
        <f>SUBTOTAL(9,N29:N32)</f>
        <v/>
      </c>
      <c r="O28" s="12">
        <f>SUBTOTAL(9,O29:O32)</f>
        <v/>
      </c>
    </row>
    <row r="29" hidden="1" outlineLevel="2">
      <c r="A29" s="13" t="inlineStr">
        <is>
          <t>20.2.01</t>
        </is>
      </c>
      <c r="B29" s="13" t="inlineStr">
        <is>
          <t xml:space="preserve">      Bibite e soft drink</t>
        </is>
      </c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>
        <f>SUM(C29:N29)</f>
        <v/>
      </c>
    </row>
    <row r="30" hidden="1" outlineLevel="2">
      <c r="A30" s="13" t="inlineStr">
        <is>
          <t>20.2.02</t>
        </is>
      </c>
      <c r="B30" s="13" t="inlineStr">
        <is>
          <t xml:space="preserve">      Acqua minerale</t>
        </is>
      </c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>
        <f>SUM(C30:N30)</f>
        <v/>
      </c>
    </row>
    <row r="31" hidden="1" outlineLevel="2">
      <c r="A31" s="13" t="inlineStr">
        <is>
          <t>20.2.03</t>
        </is>
      </c>
      <c r="B31" s="13" t="inlineStr">
        <is>
          <t xml:space="preserve">      Succhi, nettari e centrifugati</t>
        </is>
      </c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>
        <f>SUM(C31:N31)</f>
        <v/>
      </c>
    </row>
    <row r="32" hidden="1" outlineLevel="2">
      <c r="A32" s="13" t="inlineStr">
        <is>
          <t>20.2.04</t>
        </is>
      </c>
      <c r="B32" s="13" t="inlineStr">
        <is>
          <t xml:space="preserve">      Sciroppi, purea e mixer</t>
        </is>
      </c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>
        <f>SUM(C32:N32)</f>
        <v/>
      </c>
    </row>
    <row r="33" outlineLevel="1">
      <c r="A33" s="11" t="inlineStr">
        <is>
          <t>B3</t>
        </is>
      </c>
      <c r="B33" s="11" t="inlineStr">
        <is>
          <t xml:space="preserve">   Caffetteria</t>
        </is>
      </c>
      <c r="C33" s="12">
        <f>SUBTOTAL(9,C34:C37)</f>
        <v/>
      </c>
      <c r="D33" s="12">
        <f>SUBTOTAL(9,D34:D37)</f>
        <v/>
      </c>
      <c r="E33" s="12">
        <f>SUBTOTAL(9,E34:E37)</f>
        <v/>
      </c>
      <c r="F33" s="12">
        <f>SUBTOTAL(9,F34:F37)</f>
        <v/>
      </c>
      <c r="G33" s="12">
        <f>SUBTOTAL(9,G34:G37)</f>
        <v/>
      </c>
      <c r="H33" s="12">
        <f>SUBTOTAL(9,H34:H37)</f>
        <v/>
      </c>
      <c r="I33" s="12">
        <f>SUBTOTAL(9,I34:I37)</f>
        <v/>
      </c>
      <c r="J33" s="12">
        <f>SUBTOTAL(9,J34:J37)</f>
        <v/>
      </c>
      <c r="K33" s="12">
        <f>SUBTOTAL(9,K34:K37)</f>
        <v/>
      </c>
      <c r="L33" s="12">
        <f>SUBTOTAL(9,L34:L37)</f>
        <v/>
      </c>
      <c r="M33" s="12">
        <f>SUBTOTAL(9,M34:M37)</f>
        <v/>
      </c>
      <c r="N33" s="12">
        <f>SUBTOTAL(9,N34:N37)</f>
        <v/>
      </c>
      <c r="O33" s="12">
        <f>SUBTOTAL(9,O34:O37)</f>
        <v/>
      </c>
    </row>
    <row r="34" hidden="1" outlineLevel="2">
      <c r="A34" s="13" t="inlineStr">
        <is>
          <t>20.3.01</t>
        </is>
      </c>
      <c r="B34" s="13" t="inlineStr">
        <is>
          <t xml:space="preserve">      Caffè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>
        <f>SUM(C34:N34)</f>
        <v/>
      </c>
    </row>
    <row r="35" hidden="1" outlineLevel="2">
      <c r="A35" s="13" t="inlineStr">
        <is>
          <t>20.3.02</t>
        </is>
      </c>
      <c r="B35" s="13" t="inlineStr">
        <is>
          <t xml:space="preserve">      Latte e derivati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>
        <f>SUM(C35:N35)</f>
        <v/>
      </c>
    </row>
    <row r="36" hidden="1" outlineLevel="2">
      <c r="A36" s="13" t="inlineStr">
        <is>
          <t>20.3.03</t>
        </is>
      </c>
      <c r="B36" s="13" t="inlineStr">
        <is>
          <t xml:space="preserve">      Tè, infusi e cioccolata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>
        <f>SUM(C36:N36)</f>
        <v/>
      </c>
    </row>
    <row r="37" hidden="1" outlineLevel="2">
      <c r="A37" s="13" t="inlineStr">
        <is>
          <t>20.3.04</t>
        </is>
      </c>
      <c r="B37" s="13" t="inlineStr">
        <is>
          <t xml:space="preserve">      Zucchero e complementi caffetteria</t>
        </is>
      </c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>
        <f>SUM(C37:N37)</f>
        <v/>
      </c>
    </row>
    <row r="38" outlineLevel="1">
      <c r="A38" s="11" t="inlineStr">
        <is>
          <t>B4</t>
        </is>
      </c>
      <c r="B38" s="11" t="inlineStr">
        <is>
          <t xml:space="preserve">   Food</t>
        </is>
      </c>
      <c r="C38" s="12">
        <f>SUBTOTAL(9,C39:C43)</f>
        <v/>
      </c>
      <c r="D38" s="12">
        <f>SUBTOTAL(9,D39:D43)</f>
        <v/>
      </c>
      <c r="E38" s="12">
        <f>SUBTOTAL(9,E39:E43)</f>
        <v/>
      </c>
      <c r="F38" s="12">
        <f>SUBTOTAL(9,F39:F43)</f>
        <v/>
      </c>
      <c r="G38" s="12">
        <f>SUBTOTAL(9,G39:G43)</f>
        <v/>
      </c>
      <c r="H38" s="12">
        <f>SUBTOTAL(9,H39:H43)</f>
        <v/>
      </c>
      <c r="I38" s="12">
        <f>SUBTOTAL(9,I39:I43)</f>
        <v/>
      </c>
      <c r="J38" s="12">
        <f>SUBTOTAL(9,J39:J43)</f>
        <v/>
      </c>
      <c r="K38" s="12">
        <f>SUBTOTAL(9,K39:K43)</f>
        <v/>
      </c>
      <c r="L38" s="12">
        <f>SUBTOTAL(9,L39:L43)</f>
        <v/>
      </c>
      <c r="M38" s="12">
        <f>SUBTOTAL(9,M39:M43)</f>
        <v/>
      </c>
      <c r="N38" s="12">
        <f>SUBTOTAL(9,N39:N43)</f>
        <v/>
      </c>
      <c r="O38" s="12">
        <f>SUBTOTAL(9,O39:O43)</f>
        <v/>
      </c>
    </row>
    <row r="39" hidden="1" outlineLevel="2">
      <c r="A39" s="13" t="inlineStr">
        <is>
          <t>20.4.01</t>
        </is>
      </c>
      <c r="B39" s="13" t="inlineStr">
        <is>
          <t xml:space="preserve">      Beni alimentari e gastronomia</t>
        </is>
      </c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>
        <f>SUM(C39:N39)</f>
        <v/>
      </c>
    </row>
    <row r="40" hidden="1" outlineLevel="2">
      <c r="A40" s="13" t="inlineStr">
        <is>
          <t>20.4.02</t>
        </is>
      </c>
      <c r="B40" s="13" t="inlineStr">
        <is>
          <t xml:space="preserve">      Frutta e verdura</t>
        </is>
      </c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>
        <f>SUM(C40:N40)</f>
        <v/>
      </c>
    </row>
    <row r="41" hidden="1" outlineLevel="2">
      <c r="A41" s="13" t="inlineStr">
        <is>
          <t>20.4.03</t>
        </is>
      </c>
      <c r="B41" s="13" t="inlineStr">
        <is>
          <t xml:space="preserve">      Pane e prodotti da forno</t>
        </is>
      </c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>
        <f>SUM(C41:N41)</f>
        <v/>
      </c>
    </row>
    <row r="42" hidden="1" outlineLevel="2">
      <c r="A42" s="13" t="inlineStr">
        <is>
          <t>20.4.04</t>
        </is>
      </c>
      <c r="B42" s="13" t="inlineStr">
        <is>
          <t xml:space="preserve">      Pasticceria e dolci</t>
        </is>
      </c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>
        <f>SUM(C42:N42)</f>
        <v/>
      </c>
    </row>
    <row r="43" hidden="1" outlineLevel="2">
      <c r="A43" s="13" t="inlineStr">
        <is>
          <t>20.4.05</t>
        </is>
      </c>
      <c r="B43" s="13" t="inlineStr">
        <is>
          <t xml:space="preserve">      Snack e prodotti confezionati</t>
        </is>
      </c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>
        <f>SUM(C43:N43)</f>
        <v/>
      </c>
    </row>
    <row r="44" outlineLevel="1">
      <c r="A44" s="11" t="inlineStr">
        <is>
          <t>B5</t>
        </is>
      </c>
      <c r="B44" s="11" t="inlineStr">
        <is>
          <t xml:space="preserve">   Consumabili di servizio</t>
        </is>
      </c>
      <c r="C44" s="12">
        <f>SUBTOTAL(9,C45:C49)</f>
        <v/>
      </c>
      <c r="D44" s="12">
        <f>SUBTOTAL(9,D45:D49)</f>
        <v/>
      </c>
      <c r="E44" s="12">
        <f>SUBTOTAL(9,E45:E49)</f>
        <v/>
      </c>
      <c r="F44" s="12">
        <f>SUBTOTAL(9,F45:F49)</f>
        <v/>
      </c>
      <c r="G44" s="12">
        <f>SUBTOTAL(9,G45:G49)</f>
        <v/>
      </c>
      <c r="H44" s="12">
        <f>SUBTOTAL(9,H45:H49)</f>
        <v/>
      </c>
      <c r="I44" s="12">
        <f>SUBTOTAL(9,I45:I49)</f>
        <v/>
      </c>
      <c r="J44" s="12">
        <f>SUBTOTAL(9,J45:J49)</f>
        <v/>
      </c>
      <c r="K44" s="12">
        <f>SUBTOTAL(9,K45:K49)</f>
        <v/>
      </c>
      <c r="L44" s="12">
        <f>SUBTOTAL(9,L45:L49)</f>
        <v/>
      </c>
      <c r="M44" s="12">
        <f>SUBTOTAL(9,M45:M49)</f>
        <v/>
      </c>
      <c r="N44" s="12">
        <f>SUBTOTAL(9,N45:N49)</f>
        <v/>
      </c>
      <c r="O44" s="12">
        <f>SUBTOTAL(9,O45:O49)</f>
        <v/>
      </c>
    </row>
    <row r="45" hidden="1" outlineLevel="2">
      <c r="A45" s="13" t="inlineStr">
        <is>
          <t>20.5.01</t>
        </is>
      </c>
      <c r="B45" s="13" t="inlineStr">
        <is>
          <t xml:space="preserve">      Ghiaccio</t>
        </is>
      </c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>
        <f>SUM(C45:N45)</f>
        <v/>
      </c>
    </row>
    <row r="46" hidden="1" outlineLevel="2">
      <c r="A46" s="13" t="inlineStr">
        <is>
          <t>20.5.02</t>
        </is>
      </c>
      <c r="B46" s="13" t="inlineStr">
        <is>
          <t xml:space="preserve">      Garnish e decorazioni</t>
        </is>
      </c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>
        <f>SUM(C46:N46)</f>
        <v/>
      </c>
    </row>
    <row r="47" hidden="1" outlineLevel="2">
      <c r="A47" s="13" t="inlineStr">
        <is>
          <t>20.5.03</t>
        </is>
      </c>
      <c r="B47" s="13" t="inlineStr">
        <is>
          <t xml:space="preserve">      Monouso, packaging e asporto</t>
        </is>
      </c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>
        <f>SUM(C47:N47)</f>
        <v/>
      </c>
    </row>
    <row r="48" hidden="1" outlineLevel="2">
      <c r="A48" s="13" t="inlineStr">
        <is>
          <t>20.5.04</t>
        </is>
      </c>
      <c r="B48" s="13" t="inlineStr">
        <is>
          <t xml:space="preserve">      Materiale igiene e pulizia</t>
        </is>
      </c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>
        <f>SUM(C48:N48)</f>
        <v/>
      </c>
    </row>
    <row r="49" hidden="1" outlineLevel="2">
      <c r="A49" s="13" t="inlineStr">
        <is>
          <t>20.5.05</t>
        </is>
      </c>
      <c r="B49" s="13" t="inlineStr">
        <is>
          <t xml:space="preserve">      Altri materiali di consumo</t>
        </is>
      </c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>
        <f>SUM(C49:N49)</f>
        <v/>
      </c>
    </row>
    <row r="50" outlineLevel="1">
      <c r="A50" s="11" t="inlineStr">
        <is>
          <t>B6</t>
        </is>
      </c>
      <c r="B50" s="11" t="inlineStr">
        <is>
          <t xml:space="preserve">   Rettifiche su acquisti</t>
        </is>
      </c>
      <c r="C50" s="12">
        <f>SUBTOTAL(9,C51:C51)</f>
        <v/>
      </c>
      <c r="D50" s="12">
        <f>SUBTOTAL(9,D51:D51)</f>
        <v/>
      </c>
      <c r="E50" s="12">
        <f>SUBTOTAL(9,E51:E51)</f>
        <v/>
      </c>
      <c r="F50" s="12">
        <f>SUBTOTAL(9,F51:F51)</f>
        <v/>
      </c>
      <c r="G50" s="12">
        <f>SUBTOTAL(9,G51:G51)</f>
        <v/>
      </c>
      <c r="H50" s="12">
        <f>SUBTOTAL(9,H51:H51)</f>
        <v/>
      </c>
      <c r="I50" s="12">
        <f>SUBTOTAL(9,I51:I51)</f>
        <v/>
      </c>
      <c r="J50" s="12">
        <f>SUBTOTAL(9,J51:J51)</f>
        <v/>
      </c>
      <c r="K50" s="12">
        <f>SUBTOTAL(9,K51:K51)</f>
        <v/>
      </c>
      <c r="L50" s="12">
        <f>SUBTOTAL(9,L51:L51)</f>
        <v/>
      </c>
      <c r="M50" s="12">
        <f>SUBTOTAL(9,M51:M51)</f>
        <v/>
      </c>
      <c r="N50" s="12">
        <f>SUBTOTAL(9,N51:N51)</f>
        <v/>
      </c>
      <c r="O50" s="12">
        <f>SUBTOTAL(9,O51:O51)</f>
        <v/>
      </c>
    </row>
    <row r="51" hidden="1" outlineLevel="2">
      <c r="A51" s="13" t="inlineStr">
        <is>
          <t>20.6.01</t>
        </is>
      </c>
      <c r="B51" s="13" t="inlineStr">
        <is>
          <t xml:space="preserve">      Resi, sconti e premi su acquisti</t>
        </is>
      </c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>
        <f>SUM(C51:N51)</f>
        <v/>
      </c>
    </row>
    <row r="52">
      <c r="A52" s="15" t="n"/>
      <c r="B52" s="16" t="inlineStr">
        <is>
          <t>MARGINE DI CONTRIBUZIONE</t>
        </is>
      </c>
      <c r="C52" s="17">
        <f>C5+C21</f>
        <v/>
      </c>
      <c r="D52" s="17">
        <f>D5+D21</f>
        <v/>
      </c>
      <c r="E52" s="17">
        <f>E5+E21</f>
        <v/>
      </c>
      <c r="F52" s="17">
        <f>F5+F21</f>
        <v/>
      </c>
      <c r="G52" s="17">
        <f>G5+G21</f>
        <v/>
      </c>
      <c r="H52" s="17">
        <f>H5+H21</f>
        <v/>
      </c>
      <c r="I52" s="17">
        <f>I5+I21</f>
        <v/>
      </c>
      <c r="J52" s="17">
        <f>J5+J21</f>
        <v/>
      </c>
      <c r="K52" s="17">
        <f>K5+K21</f>
        <v/>
      </c>
      <c r="L52" s="17">
        <f>L5+L21</f>
        <v/>
      </c>
      <c r="M52" s="17">
        <f>M5+M21</f>
        <v/>
      </c>
      <c r="N52" s="17">
        <f>N5+N21</f>
        <v/>
      </c>
      <c r="O52" s="17">
        <f>O5+O21</f>
        <v/>
      </c>
    </row>
    <row r="54">
      <c r="A54" s="9" t="inlineStr">
        <is>
          <t>C</t>
        </is>
      </c>
      <c r="B54" s="9" t="inlineStr">
        <is>
          <t>COSTO DEL PERSONALE</t>
        </is>
      </c>
      <c r="C54" s="10">
        <f>SUBTOTAL(9,C55:C81)</f>
        <v/>
      </c>
      <c r="D54" s="10">
        <f>SUBTOTAL(9,D55:D81)</f>
        <v/>
      </c>
      <c r="E54" s="10">
        <f>SUBTOTAL(9,E55:E81)</f>
        <v/>
      </c>
      <c r="F54" s="10">
        <f>SUBTOTAL(9,F55:F81)</f>
        <v/>
      </c>
      <c r="G54" s="10">
        <f>SUBTOTAL(9,G55:G81)</f>
        <v/>
      </c>
      <c r="H54" s="10">
        <f>SUBTOTAL(9,H55:H81)</f>
        <v/>
      </c>
      <c r="I54" s="10">
        <f>SUBTOTAL(9,I55:I81)</f>
        <v/>
      </c>
      <c r="J54" s="10">
        <f>SUBTOTAL(9,J55:J81)</f>
        <v/>
      </c>
      <c r="K54" s="10">
        <f>SUBTOTAL(9,K55:K81)</f>
        <v/>
      </c>
      <c r="L54" s="10">
        <f>SUBTOTAL(9,L55:L81)</f>
        <v/>
      </c>
      <c r="M54" s="10">
        <f>SUBTOTAL(9,M55:M81)</f>
        <v/>
      </c>
      <c r="N54" s="10">
        <f>SUBTOTAL(9,N55:N81)</f>
        <v/>
      </c>
      <c r="O54" s="10">
        <f>SUBTOTAL(9,O55:O81)</f>
        <v/>
      </c>
    </row>
    <row r="55" outlineLevel="1">
      <c r="A55" s="11" t="inlineStr">
        <is>
          <t>C1</t>
        </is>
      </c>
      <c r="B55" s="11" t="inlineStr">
        <is>
          <t xml:space="preserve">   Retribuzioni</t>
        </is>
      </c>
      <c r="C55" s="12">
        <f>SUBTOTAL(9,C56:C64)</f>
        <v/>
      </c>
      <c r="D55" s="12">
        <f>SUBTOTAL(9,D56:D64)</f>
        <v/>
      </c>
      <c r="E55" s="12">
        <f>SUBTOTAL(9,E56:E64)</f>
        <v/>
      </c>
      <c r="F55" s="12">
        <f>SUBTOTAL(9,F56:F64)</f>
        <v/>
      </c>
      <c r="G55" s="12">
        <f>SUBTOTAL(9,G56:G64)</f>
        <v/>
      </c>
      <c r="H55" s="12">
        <f>SUBTOTAL(9,H56:H64)</f>
        <v/>
      </c>
      <c r="I55" s="12">
        <f>SUBTOTAL(9,I56:I64)</f>
        <v/>
      </c>
      <c r="J55" s="12">
        <f>SUBTOTAL(9,J56:J64)</f>
        <v/>
      </c>
      <c r="K55" s="12">
        <f>SUBTOTAL(9,K56:K64)</f>
        <v/>
      </c>
      <c r="L55" s="12">
        <f>SUBTOTAL(9,L56:L64)</f>
        <v/>
      </c>
      <c r="M55" s="12">
        <f>SUBTOTAL(9,M56:M64)</f>
        <v/>
      </c>
      <c r="N55" s="12">
        <f>SUBTOTAL(9,N56:N64)</f>
        <v/>
      </c>
      <c r="O55" s="12">
        <f>SUBTOTAL(9,O56:O64)</f>
        <v/>
      </c>
    </row>
    <row r="56" hidden="1" outlineLevel="2">
      <c r="A56" s="13" t="inlineStr">
        <is>
          <t>28.1.01</t>
        </is>
      </c>
      <c r="B56" s="13" t="inlineStr">
        <is>
          <t xml:space="preserve">      Retribuzioni personale dipendente serale</t>
        </is>
      </c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>
        <f>SUM(C56:N56)</f>
        <v/>
      </c>
    </row>
    <row r="57" hidden="1" outlineLevel="2">
      <c r="A57" s="13" t="inlineStr">
        <is>
          <t>28.1.02</t>
        </is>
      </c>
      <c r="B57" s="13" t="inlineStr">
        <is>
          <t xml:space="preserve">      Retribuzioni personale extra e a chiamata</t>
        </is>
      </c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>
        <f>SUM(C57:N57)</f>
        <v/>
      </c>
    </row>
    <row r="58" hidden="1" outlineLevel="2">
      <c r="A58" s="13" t="inlineStr">
        <is>
          <t>28.1.03</t>
        </is>
      </c>
      <c r="B58" s="13" t="inlineStr">
        <is>
          <t xml:space="preserve">      Retribuzioni personale servizio mattina</t>
        </is>
      </c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>
        <f>SUM(C58:N58)</f>
        <v/>
      </c>
    </row>
    <row r="59" hidden="1" outlineLevel="2">
      <c r="A59" s="13" t="inlineStr">
        <is>
          <t>28.1.04</t>
        </is>
      </c>
      <c r="B59" s="13" t="inlineStr">
        <is>
          <t xml:space="preserve">      Retribuzioni personale extra mattina</t>
        </is>
      </c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>
        <f>SUM(C59:N59)</f>
        <v/>
      </c>
    </row>
    <row r="60" hidden="1" outlineLevel="2">
      <c r="A60" s="13" t="inlineStr">
        <is>
          <t>28.1.05</t>
        </is>
      </c>
      <c r="B60" s="13" t="inlineStr">
        <is>
          <t xml:space="preserve">      Retribuzioni personale pulizie</t>
        </is>
      </c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>
        <f>SUM(C60:N60)</f>
        <v/>
      </c>
    </row>
    <row r="61" hidden="1" outlineLevel="2">
      <c r="A61" s="13" t="inlineStr">
        <is>
          <t>28.1.06</t>
        </is>
      </c>
      <c r="B61" s="13" t="inlineStr">
        <is>
          <t xml:space="preserve">      Retribuzioni personale sicurezza</t>
        </is>
      </c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>
        <f>SUM(C61:N61)</f>
        <v/>
      </c>
    </row>
    <row r="62" hidden="1" outlineLevel="2">
      <c r="A62" s="13" t="inlineStr">
        <is>
          <t>28.1.07</t>
        </is>
      </c>
      <c r="B62" s="13" t="inlineStr">
        <is>
          <t xml:space="preserve">      Straordinari e maggiorazioni</t>
        </is>
      </c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>
        <f>SUM(C62:N62)</f>
        <v/>
      </c>
    </row>
    <row r="63" hidden="1" outlineLevel="2">
      <c r="A63" s="13" t="inlineStr">
        <is>
          <t>28.1.08</t>
        </is>
      </c>
      <c r="B63" s="13" t="inlineStr">
        <is>
          <t xml:space="preserve">      Ferie, permessi e mensilità aggiuntive</t>
        </is>
      </c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>
        <f>SUM(C63:N63)</f>
        <v/>
      </c>
    </row>
    <row r="64" hidden="1" outlineLevel="2">
      <c r="A64" s="13" t="inlineStr">
        <is>
          <t>28.1.09</t>
        </is>
      </c>
      <c r="B64" s="13" t="inlineStr">
        <is>
          <t xml:space="preserve">      Retribuzioni personale amministrativo</t>
        </is>
      </c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>
        <f>SUM(C64:N64)</f>
        <v/>
      </c>
    </row>
    <row r="65" outlineLevel="1">
      <c r="A65" s="11" t="inlineStr">
        <is>
          <t>C2</t>
        </is>
      </c>
      <c r="B65" s="11" t="inlineStr">
        <is>
          <t xml:space="preserve">   Oneri sociali</t>
        </is>
      </c>
      <c r="C65" s="12">
        <f>SUBTOTAL(9,C66:C68)</f>
        <v/>
      </c>
      <c r="D65" s="12">
        <f>SUBTOTAL(9,D66:D68)</f>
        <v/>
      </c>
      <c r="E65" s="12">
        <f>SUBTOTAL(9,E66:E68)</f>
        <v/>
      </c>
      <c r="F65" s="12">
        <f>SUBTOTAL(9,F66:F68)</f>
        <v/>
      </c>
      <c r="G65" s="12">
        <f>SUBTOTAL(9,G66:G68)</f>
        <v/>
      </c>
      <c r="H65" s="12">
        <f>SUBTOTAL(9,H66:H68)</f>
        <v/>
      </c>
      <c r="I65" s="12">
        <f>SUBTOTAL(9,I66:I68)</f>
        <v/>
      </c>
      <c r="J65" s="12">
        <f>SUBTOTAL(9,J66:J68)</f>
        <v/>
      </c>
      <c r="K65" s="12">
        <f>SUBTOTAL(9,K66:K68)</f>
        <v/>
      </c>
      <c r="L65" s="12">
        <f>SUBTOTAL(9,L66:L68)</f>
        <v/>
      </c>
      <c r="M65" s="12">
        <f>SUBTOTAL(9,M66:M68)</f>
        <v/>
      </c>
      <c r="N65" s="12">
        <f>SUBTOTAL(9,N66:N68)</f>
        <v/>
      </c>
      <c r="O65" s="12">
        <f>SUBTOTAL(9,O66:O68)</f>
        <v/>
      </c>
    </row>
    <row r="66" hidden="1" outlineLevel="2">
      <c r="A66" s="13" t="inlineStr">
        <is>
          <t>28.2.01</t>
        </is>
      </c>
      <c r="B66" s="13" t="inlineStr">
        <is>
          <t xml:space="preserve">      Contributi INPS c/azienda</t>
        </is>
      </c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>
        <f>SUM(C66:N66)</f>
        <v/>
      </c>
    </row>
    <row r="67" hidden="1" outlineLevel="2">
      <c r="A67" s="13" t="inlineStr">
        <is>
          <t>28.2.02</t>
        </is>
      </c>
      <c r="B67" s="13" t="inlineStr">
        <is>
          <t xml:space="preserve">      Contributi INAIL</t>
        </is>
      </c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>
        <f>SUM(C67:N67)</f>
        <v/>
      </c>
    </row>
    <row r="68" hidden="1" outlineLevel="2">
      <c r="A68" s="13" t="inlineStr">
        <is>
          <t>28.2.03</t>
        </is>
      </c>
      <c r="B68" s="13" t="inlineStr">
        <is>
          <t xml:space="preserve">      Fondi integrativi ed enti bilaterali</t>
        </is>
      </c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>
        <f>SUM(C68:N68)</f>
        <v/>
      </c>
    </row>
    <row r="69" outlineLevel="1">
      <c r="A69" s="11" t="inlineStr">
        <is>
          <t>C3</t>
        </is>
      </c>
      <c r="B69" s="11" t="inlineStr">
        <is>
          <t xml:space="preserve">   TFR corrisposto</t>
        </is>
      </c>
      <c r="C69" s="12">
        <f>SUBTOTAL(9,C70:C70)</f>
        <v/>
      </c>
      <c r="D69" s="12">
        <f>SUBTOTAL(9,D70:D70)</f>
        <v/>
      </c>
      <c r="E69" s="12">
        <f>SUBTOTAL(9,E70:E70)</f>
        <v/>
      </c>
      <c r="F69" s="12">
        <f>SUBTOTAL(9,F70:F70)</f>
        <v/>
      </c>
      <c r="G69" s="12">
        <f>SUBTOTAL(9,G70:G70)</f>
        <v/>
      </c>
      <c r="H69" s="12">
        <f>SUBTOTAL(9,H70:H70)</f>
        <v/>
      </c>
      <c r="I69" s="12">
        <f>SUBTOTAL(9,I70:I70)</f>
        <v/>
      </c>
      <c r="J69" s="12">
        <f>SUBTOTAL(9,J70:J70)</f>
        <v/>
      </c>
      <c r="K69" s="12">
        <f>SUBTOTAL(9,K70:K70)</f>
        <v/>
      </c>
      <c r="L69" s="12">
        <f>SUBTOTAL(9,L70:L70)</f>
        <v/>
      </c>
      <c r="M69" s="12">
        <f>SUBTOTAL(9,M70:M70)</f>
        <v/>
      </c>
      <c r="N69" s="12">
        <f>SUBTOTAL(9,N70:N70)</f>
        <v/>
      </c>
      <c r="O69" s="12">
        <f>SUBTOTAL(9,O70:O70)</f>
        <v/>
      </c>
    </row>
    <row r="70" hidden="1" outlineLevel="2">
      <c r="A70" s="13" t="inlineStr">
        <is>
          <t>28.3.02</t>
        </is>
      </c>
      <c r="B70" s="13" t="inlineStr">
        <is>
          <t xml:space="preserve">      TFR corrisposto nell'anno</t>
        </is>
      </c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>
        <f>SUM(C70:N70)</f>
        <v/>
      </c>
    </row>
    <row r="71" outlineLevel="1">
      <c r="A71" s="11" t="inlineStr">
        <is>
          <t>C4</t>
        </is>
      </c>
      <c r="B71" s="11" t="inlineStr">
        <is>
          <t xml:space="preserve">   Altri costi del personale</t>
        </is>
      </c>
      <c r="C71" s="12">
        <f>SUBTOTAL(9,C72:C76)</f>
        <v/>
      </c>
      <c r="D71" s="12">
        <f>SUBTOTAL(9,D72:D76)</f>
        <v/>
      </c>
      <c r="E71" s="12">
        <f>SUBTOTAL(9,E72:E76)</f>
        <v/>
      </c>
      <c r="F71" s="12">
        <f>SUBTOTAL(9,F72:F76)</f>
        <v/>
      </c>
      <c r="G71" s="12">
        <f>SUBTOTAL(9,G72:G76)</f>
        <v/>
      </c>
      <c r="H71" s="12">
        <f>SUBTOTAL(9,H72:H76)</f>
        <v/>
      </c>
      <c r="I71" s="12">
        <f>SUBTOTAL(9,I72:I76)</f>
        <v/>
      </c>
      <c r="J71" s="12">
        <f>SUBTOTAL(9,J72:J76)</f>
        <v/>
      </c>
      <c r="K71" s="12">
        <f>SUBTOTAL(9,K72:K76)</f>
        <v/>
      </c>
      <c r="L71" s="12">
        <f>SUBTOTAL(9,L72:L76)</f>
        <v/>
      </c>
      <c r="M71" s="12">
        <f>SUBTOTAL(9,M72:M76)</f>
        <v/>
      </c>
      <c r="N71" s="12">
        <f>SUBTOTAL(9,N72:N76)</f>
        <v/>
      </c>
      <c r="O71" s="12">
        <f>SUBTOTAL(9,O72:O76)</f>
        <v/>
      </c>
    </row>
    <row r="72" hidden="1" outlineLevel="2">
      <c r="A72" s="13" t="inlineStr">
        <is>
          <t>28.4.01</t>
        </is>
      </c>
      <c r="B72" s="13" t="inlineStr">
        <is>
          <t xml:space="preserve">      Rimborsi spese dipendenti</t>
        </is>
      </c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>
        <f>SUM(C72:N72)</f>
        <v/>
      </c>
    </row>
    <row r="73" hidden="1" outlineLevel="2">
      <c r="A73" s="13" t="inlineStr">
        <is>
          <t>28.4.02</t>
        </is>
      </c>
      <c r="B73" s="13" t="inlineStr">
        <is>
          <t xml:space="preserve">      Welfare aziendale e fringe benefit</t>
        </is>
      </c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>
        <f>SUM(C73:N73)</f>
        <v/>
      </c>
    </row>
    <row r="74" hidden="1" outlineLevel="2">
      <c r="A74" s="13" t="inlineStr">
        <is>
          <t>28.4.03</t>
        </is>
      </c>
      <c r="B74" s="13" t="inlineStr">
        <is>
          <t xml:space="preserve">      Buoni pasto, vitto e alloggio</t>
        </is>
      </c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>
        <f>SUM(C74:N74)</f>
        <v/>
      </c>
    </row>
    <row r="75" hidden="1" outlineLevel="2">
      <c r="A75" s="13" t="inlineStr">
        <is>
          <t>28.4.04</t>
        </is>
      </c>
      <c r="B75" s="13" t="inlineStr">
        <is>
          <t xml:space="preserve">      Ricerca, selezione e tirocini</t>
        </is>
      </c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>
        <f>SUM(C75:N75)</f>
        <v/>
      </c>
    </row>
    <row r="76" hidden="1" outlineLevel="2">
      <c r="A76" s="13" t="inlineStr">
        <is>
          <t>28.4.05</t>
        </is>
      </c>
      <c r="B76" s="13" t="inlineStr">
        <is>
          <t xml:space="preserve">      Altri costi per personale dipendente</t>
        </is>
      </c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>
        <f>SUM(C76:N76)</f>
        <v/>
      </c>
    </row>
    <row r="77" outlineLevel="1">
      <c r="A77" s="11" t="inlineStr">
        <is>
          <t>C5</t>
        </is>
      </c>
      <c r="B77" s="11" t="inlineStr">
        <is>
          <t xml:space="preserve">   Organi sociali e collaborazioni</t>
        </is>
      </c>
      <c r="C77" s="12">
        <f>SUBTOTAL(9,C78:C81)</f>
        <v/>
      </c>
      <c r="D77" s="12">
        <f>SUBTOTAL(9,D78:D81)</f>
        <v/>
      </c>
      <c r="E77" s="12">
        <f>SUBTOTAL(9,E78:E81)</f>
        <v/>
      </c>
      <c r="F77" s="12">
        <f>SUBTOTAL(9,F78:F81)</f>
        <v/>
      </c>
      <c r="G77" s="12">
        <f>SUBTOTAL(9,G78:G81)</f>
        <v/>
      </c>
      <c r="H77" s="12">
        <f>SUBTOTAL(9,H78:H81)</f>
        <v/>
      </c>
      <c r="I77" s="12">
        <f>SUBTOTAL(9,I78:I81)</f>
        <v/>
      </c>
      <c r="J77" s="12">
        <f>SUBTOTAL(9,J78:J81)</f>
        <v/>
      </c>
      <c r="K77" s="12">
        <f>SUBTOTAL(9,K78:K81)</f>
        <v/>
      </c>
      <c r="L77" s="12">
        <f>SUBTOTAL(9,L78:L81)</f>
        <v/>
      </c>
      <c r="M77" s="12">
        <f>SUBTOTAL(9,M78:M81)</f>
        <v/>
      </c>
      <c r="N77" s="12">
        <f>SUBTOTAL(9,N78:N81)</f>
        <v/>
      </c>
      <c r="O77" s="12">
        <f>SUBTOTAL(9,O78:O81)</f>
        <v/>
      </c>
    </row>
    <row r="78" hidden="1" outlineLevel="2">
      <c r="A78" s="13" t="inlineStr">
        <is>
          <t>29.01</t>
        </is>
      </c>
      <c r="B78" s="13" t="inlineStr">
        <is>
          <t xml:space="preserve">      Compenso amministratore</t>
        </is>
      </c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>
        <f>SUM(C78:N78)</f>
        <v/>
      </c>
    </row>
    <row r="79" hidden="1" outlineLevel="2">
      <c r="A79" s="13" t="inlineStr">
        <is>
          <t>29.02</t>
        </is>
      </c>
      <c r="B79" s="13" t="inlineStr">
        <is>
          <t xml:space="preserve">      Contributi INPS gestione separata amministratore</t>
        </is>
      </c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>
        <f>SUM(C79:N79)</f>
        <v/>
      </c>
    </row>
    <row r="80" hidden="1" outlineLevel="2">
      <c r="A80" s="13" t="inlineStr">
        <is>
          <t>29.04</t>
        </is>
      </c>
      <c r="B80" s="13" t="inlineStr">
        <is>
          <t xml:space="preserve">      Rimborsi spese amministratore</t>
        </is>
      </c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>
        <f>SUM(C80:N80)</f>
        <v/>
      </c>
    </row>
    <row r="81" hidden="1" outlineLevel="2">
      <c r="A81" s="13" t="inlineStr">
        <is>
          <t>29.05</t>
        </is>
      </c>
      <c r="B81" s="13" t="inlineStr">
        <is>
          <t xml:space="preserve">      Compensi per collaborazioni e prestazioni occasionali</t>
        </is>
      </c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>
        <f>SUM(C81:N81)</f>
        <v/>
      </c>
    </row>
    <row r="83">
      <c r="A83" s="9" t="inlineStr">
        <is>
          <t>D</t>
        </is>
      </c>
      <c r="B83" s="9" t="inlineStr">
        <is>
          <t>COSTI DIRETTI EVENTI</t>
        </is>
      </c>
      <c r="C83" s="10">
        <f>SUBTOTAL(9,C84:C98)</f>
        <v/>
      </c>
      <c r="D83" s="10">
        <f>SUBTOTAL(9,D84:D98)</f>
        <v/>
      </c>
      <c r="E83" s="10">
        <f>SUBTOTAL(9,E84:E98)</f>
        <v/>
      </c>
      <c r="F83" s="10">
        <f>SUBTOTAL(9,F84:F98)</f>
        <v/>
      </c>
      <c r="G83" s="10">
        <f>SUBTOTAL(9,G84:G98)</f>
        <v/>
      </c>
      <c r="H83" s="10">
        <f>SUBTOTAL(9,H84:H98)</f>
        <v/>
      </c>
      <c r="I83" s="10">
        <f>SUBTOTAL(9,I84:I98)</f>
        <v/>
      </c>
      <c r="J83" s="10">
        <f>SUBTOTAL(9,J84:J98)</f>
        <v/>
      </c>
      <c r="K83" s="10">
        <f>SUBTOTAL(9,K84:K98)</f>
        <v/>
      </c>
      <c r="L83" s="10">
        <f>SUBTOTAL(9,L84:L98)</f>
        <v/>
      </c>
      <c r="M83" s="10">
        <f>SUBTOTAL(9,M84:M98)</f>
        <v/>
      </c>
      <c r="N83" s="10">
        <f>SUBTOTAL(9,N84:N98)</f>
        <v/>
      </c>
      <c r="O83" s="10">
        <f>SUBTOTAL(9,O84:O98)</f>
        <v/>
      </c>
    </row>
    <row r="84" outlineLevel="1">
      <c r="A84" s="11" t="inlineStr">
        <is>
          <t>D1</t>
        </is>
      </c>
      <c r="B84" s="11" t="inlineStr">
        <is>
          <t xml:space="preserve">   Artisti e service</t>
        </is>
      </c>
      <c r="C84" s="12">
        <f>SUBTOTAL(9,C85:C86)</f>
        <v/>
      </c>
      <c r="D84" s="12">
        <f>SUBTOTAL(9,D85:D86)</f>
        <v/>
      </c>
      <c r="E84" s="12">
        <f>SUBTOTAL(9,E85:E86)</f>
        <v/>
      </c>
      <c r="F84" s="12">
        <f>SUBTOTAL(9,F85:F86)</f>
        <v/>
      </c>
      <c r="G84" s="12">
        <f>SUBTOTAL(9,G85:G86)</f>
        <v/>
      </c>
      <c r="H84" s="12">
        <f>SUBTOTAL(9,H85:H86)</f>
        <v/>
      </c>
      <c r="I84" s="12">
        <f>SUBTOTAL(9,I85:I86)</f>
        <v/>
      </c>
      <c r="J84" s="12">
        <f>SUBTOTAL(9,J85:J86)</f>
        <v/>
      </c>
      <c r="K84" s="12">
        <f>SUBTOTAL(9,K85:K86)</f>
        <v/>
      </c>
      <c r="L84" s="12">
        <f>SUBTOTAL(9,L85:L86)</f>
        <v/>
      </c>
      <c r="M84" s="12">
        <f>SUBTOTAL(9,M85:M86)</f>
        <v/>
      </c>
      <c r="N84" s="12">
        <f>SUBTOTAL(9,N85:N86)</f>
        <v/>
      </c>
      <c r="O84" s="12">
        <f>SUBTOTAL(9,O85:O86)</f>
        <v/>
      </c>
    </row>
    <row r="85" hidden="1" outlineLevel="2">
      <c r="A85" s="13" t="inlineStr">
        <is>
          <t>26.01</t>
        </is>
      </c>
      <c r="B85" s="13" t="inlineStr">
        <is>
          <t xml:space="preserve">      Artisti, DJ e compensi live</t>
        </is>
      </c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>
        <f>SUM(C85:N85)</f>
        <v/>
      </c>
    </row>
    <row r="86" hidden="1" outlineLevel="2">
      <c r="A86" s="13" t="inlineStr">
        <is>
          <t>26.02</t>
        </is>
      </c>
      <c r="B86" s="13" t="inlineStr">
        <is>
          <t xml:space="preserve">      Service audio-luci e noleggi tecnici</t>
        </is>
      </c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>
        <f>SUM(C86:N86)</f>
        <v/>
      </c>
    </row>
    <row r="87" outlineLevel="1">
      <c r="A87" s="11" t="inlineStr">
        <is>
          <t>D2</t>
        </is>
      </c>
      <c r="B87" s="11" t="inlineStr">
        <is>
          <t xml:space="preserve">   Manodopera evento</t>
        </is>
      </c>
      <c r="C87" s="12">
        <f>SUBTOTAL(9,C88:C90)</f>
        <v/>
      </c>
      <c r="D87" s="12">
        <f>SUBTOTAL(9,D88:D90)</f>
        <v/>
      </c>
      <c r="E87" s="12">
        <f>SUBTOTAL(9,E88:E90)</f>
        <v/>
      </c>
      <c r="F87" s="12">
        <f>SUBTOTAL(9,F88:F90)</f>
        <v/>
      </c>
      <c r="G87" s="12">
        <f>SUBTOTAL(9,G88:G90)</f>
        <v/>
      </c>
      <c r="H87" s="12">
        <f>SUBTOTAL(9,H88:H90)</f>
        <v/>
      </c>
      <c r="I87" s="12">
        <f>SUBTOTAL(9,I88:I90)</f>
        <v/>
      </c>
      <c r="J87" s="12">
        <f>SUBTOTAL(9,J88:J90)</f>
        <v/>
      </c>
      <c r="K87" s="12">
        <f>SUBTOTAL(9,K88:K90)</f>
        <v/>
      </c>
      <c r="L87" s="12">
        <f>SUBTOTAL(9,L88:L90)</f>
        <v/>
      </c>
      <c r="M87" s="12">
        <f>SUBTOTAL(9,M88:M90)</f>
        <v/>
      </c>
      <c r="N87" s="12">
        <f>SUBTOTAL(9,N88:N90)</f>
        <v/>
      </c>
      <c r="O87" s="12">
        <f>SUBTOTAL(9,O88:O90)</f>
        <v/>
      </c>
    </row>
    <row r="88" hidden="1" outlineLevel="2">
      <c r="A88" s="13" t="inlineStr">
        <is>
          <t>26.03</t>
        </is>
      </c>
      <c r="B88" s="13" t="inlineStr">
        <is>
          <t xml:space="preserve">      Personale evento</t>
        </is>
      </c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>
        <f>SUM(C88:N88)</f>
        <v/>
      </c>
    </row>
    <row r="89" hidden="1" outlineLevel="2">
      <c r="A89" s="13" t="inlineStr">
        <is>
          <t>26.05</t>
        </is>
      </c>
      <c r="B89" s="13" t="inlineStr">
        <is>
          <t xml:space="preserve">      Sicurezza e steward evento</t>
        </is>
      </c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>
        <f>SUM(C89:N89)</f>
        <v/>
      </c>
    </row>
    <row r="90" hidden="1" outlineLevel="2">
      <c r="A90" s="13" t="inlineStr">
        <is>
          <t>26.06</t>
        </is>
      </c>
      <c r="B90" s="13" t="inlineStr">
        <is>
          <t xml:space="preserve">      Servizi di pulizia evento</t>
        </is>
      </c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>
        <f>SUM(C90:N90)</f>
        <v/>
      </c>
    </row>
    <row r="91" outlineLevel="1">
      <c r="A91" s="11" t="inlineStr">
        <is>
          <t>D3</t>
        </is>
      </c>
      <c r="B91" s="11" t="inlineStr">
        <is>
          <t xml:space="preserve">   Promozione evento</t>
        </is>
      </c>
      <c r="C91" s="12">
        <f>SUBTOTAL(9,C92:C94)</f>
        <v/>
      </c>
      <c r="D91" s="12">
        <f>SUBTOTAL(9,D92:D94)</f>
        <v/>
      </c>
      <c r="E91" s="12">
        <f>SUBTOTAL(9,E92:E94)</f>
        <v/>
      </c>
      <c r="F91" s="12">
        <f>SUBTOTAL(9,F92:F94)</f>
        <v/>
      </c>
      <c r="G91" s="12">
        <f>SUBTOTAL(9,G92:G94)</f>
        <v/>
      </c>
      <c r="H91" s="12">
        <f>SUBTOTAL(9,H92:H94)</f>
        <v/>
      </c>
      <c r="I91" s="12">
        <f>SUBTOTAL(9,I92:I94)</f>
        <v/>
      </c>
      <c r="J91" s="12">
        <f>SUBTOTAL(9,J92:J94)</f>
        <v/>
      </c>
      <c r="K91" s="12">
        <f>SUBTOTAL(9,K92:K94)</f>
        <v/>
      </c>
      <c r="L91" s="12">
        <f>SUBTOTAL(9,L92:L94)</f>
        <v/>
      </c>
      <c r="M91" s="12">
        <f>SUBTOTAL(9,M92:M94)</f>
        <v/>
      </c>
      <c r="N91" s="12">
        <f>SUBTOTAL(9,N92:N94)</f>
        <v/>
      </c>
      <c r="O91" s="12">
        <f>SUBTOTAL(9,O92:O94)</f>
        <v/>
      </c>
    </row>
    <row r="92" hidden="1" outlineLevel="2">
      <c r="A92" s="13" t="inlineStr">
        <is>
          <t>26.04</t>
        </is>
      </c>
      <c r="B92" s="13" t="inlineStr">
        <is>
          <t xml:space="preserve">      PR e promoter evento</t>
        </is>
      </c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>
        <f>SUM(C92:N92)</f>
        <v/>
      </c>
    </row>
    <row r="93" hidden="1" outlineLevel="2">
      <c r="A93" s="13" t="inlineStr">
        <is>
          <t>26.07</t>
        </is>
      </c>
      <c r="B93" s="13" t="inlineStr">
        <is>
          <t xml:space="preserve">      Advertising e sponsorizzate evento</t>
        </is>
      </c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>
        <f>SUM(C93:N93)</f>
        <v/>
      </c>
    </row>
    <row r="94" hidden="1" outlineLevel="2">
      <c r="A94" s="13" t="inlineStr">
        <is>
          <t>26.08</t>
        </is>
      </c>
      <c r="B94" s="13" t="inlineStr">
        <is>
          <t xml:space="preserve">      Foto e grafiche evento</t>
        </is>
      </c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>
        <f>SUM(C94:N94)</f>
        <v/>
      </c>
    </row>
    <row r="95" outlineLevel="1">
      <c r="A95" s="11" t="inlineStr">
        <is>
          <t>D4</t>
        </is>
      </c>
      <c r="B95" s="11" t="inlineStr">
        <is>
          <t xml:space="preserve">   Oneri e allestimenti evento</t>
        </is>
      </c>
      <c r="C95" s="12">
        <f>SUBTOTAL(9,C96:C98)</f>
        <v/>
      </c>
      <c r="D95" s="12">
        <f>SUBTOTAL(9,D96:D98)</f>
        <v/>
      </c>
      <c r="E95" s="12">
        <f>SUBTOTAL(9,E96:E98)</f>
        <v/>
      </c>
      <c r="F95" s="12">
        <f>SUBTOTAL(9,F96:F98)</f>
        <v/>
      </c>
      <c r="G95" s="12">
        <f>SUBTOTAL(9,G96:G98)</f>
        <v/>
      </c>
      <c r="H95" s="12">
        <f>SUBTOTAL(9,H96:H98)</f>
        <v/>
      </c>
      <c r="I95" s="12">
        <f>SUBTOTAL(9,I96:I98)</f>
        <v/>
      </c>
      <c r="J95" s="12">
        <f>SUBTOTAL(9,J96:J98)</f>
        <v/>
      </c>
      <c r="K95" s="12">
        <f>SUBTOTAL(9,K96:K98)</f>
        <v/>
      </c>
      <c r="L95" s="12">
        <f>SUBTOTAL(9,L96:L98)</f>
        <v/>
      </c>
      <c r="M95" s="12">
        <f>SUBTOTAL(9,M96:M98)</f>
        <v/>
      </c>
      <c r="N95" s="12">
        <f>SUBTOTAL(9,N96:N98)</f>
        <v/>
      </c>
      <c r="O95" s="12">
        <f>SUBTOTAL(9,O96:O98)</f>
        <v/>
      </c>
    </row>
    <row r="96" hidden="1" outlineLevel="2">
      <c r="A96" s="13" t="inlineStr">
        <is>
          <t>26.09</t>
        </is>
      </c>
      <c r="B96" s="13" t="inlineStr">
        <is>
          <t xml:space="preserve">      SIAE, SCF e diritti musicali</t>
        </is>
      </c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>
        <f>SUM(C96:N96)</f>
        <v/>
      </c>
    </row>
    <row r="97" hidden="1" outlineLevel="2">
      <c r="A97" s="13" t="inlineStr">
        <is>
          <t>26.10</t>
        </is>
      </c>
      <c r="B97" s="13" t="inlineStr">
        <is>
          <t xml:space="preserve">      Permessi, autorizzazioni e oneri evento</t>
        </is>
      </c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>
        <f>SUM(C97:N97)</f>
        <v/>
      </c>
    </row>
    <row r="98" hidden="1" outlineLevel="2">
      <c r="A98" s="13" t="inlineStr">
        <is>
          <t>26.11</t>
        </is>
      </c>
      <c r="B98" s="13" t="inlineStr">
        <is>
          <t xml:space="preserve">      Allestimenti e materiali evento</t>
        </is>
      </c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>
        <f>SUM(C98:N98)</f>
        <v/>
      </c>
    </row>
    <row r="100">
      <c r="A100" s="9" t="inlineStr">
        <is>
          <t>E</t>
        </is>
      </c>
      <c r="B100" s="9" t="inlineStr">
        <is>
          <t>COSTI DI STRUTTURA</t>
        </is>
      </c>
      <c r="C100" s="10">
        <f>SUBTOTAL(9,C101:C164)</f>
        <v/>
      </c>
      <c r="D100" s="10">
        <f>SUBTOTAL(9,D101:D164)</f>
        <v/>
      </c>
      <c r="E100" s="10">
        <f>SUBTOTAL(9,E101:E164)</f>
        <v/>
      </c>
      <c r="F100" s="10">
        <f>SUBTOTAL(9,F101:F164)</f>
        <v/>
      </c>
      <c r="G100" s="10">
        <f>SUBTOTAL(9,G101:G164)</f>
        <v/>
      </c>
      <c r="H100" s="10">
        <f>SUBTOTAL(9,H101:H164)</f>
        <v/>
      </c>
      <c r="I100" s="10">
        <f>SUBTOTAL(9,I101:I164)</f>
        <v/>
      </c>
      <c r="J100" s="10">
        <f>SUBTOTAL(9,J101:J164)</f>
        <v/>
      </c>
      <c r="K100" s="10">
        <f>SUBTOTAL(9,K101:K164)</f>
        <v/>
      </c>
      <c r="L100" s="10">
        <f>SUBTOTAL(9,L101:L164)</f>
        <v/>
      </c>
      <c r="M100" s="10">
        <f>SUBTOTAL(9,M101:M164)</f>
        <v/>
      </c>
      <c r="N100" s="10">
        <f>SUBTOTAL(9,N101:N164)</f>
        <v/>
      </c>
      <c r="O100" s="10">
        <f>SUBTOTAL(9,O101:O164)</f>
        <v/>
      </c>
    </row>
    <row r="101" outlineLevel="1">
      <c r="A101" s="11" t="inlineStr">
        <is>
          <t>E1</t>
        </is>
      </c>
      <c r="B101" s="11" t="inlineStr">
        <is>
          <t xml:space="preserve">   Immobili e spazi</t>
        </is>
      </c>
      <c r="C101" s="12">
        <f>SUBTOTAL(9,C102:C104)</f>
        <v/>
      </c>
      <c r="D101" s="12">
        <f>SUBTOTAL(9,D102:D104)</f>
        <v/>
      </c>
      <c r="E101" s="12">
        <f>SUBTOTAL(9,E102:E104)</f>
        <v/>
      </c>
      <c r="F101" s="12">
        <f>SUBTOTAL(9,F102:F104)</f>
        <v/>
      </c>
      <c r="G101" s="12">
        <f>SUBTOTAL(9,G102:G104)</f>
        <v/>
      </c>
      <c r="H101" s="12">
        <f>SUBTOTAL(9,H102:H104)</f>
        <v/>
      </c>
      <c r="I101" s="12">
        <f>SUBTOTAL(9,I102:I104)</f>
        <v/>
      </c>
      <c r="J101" s="12">
        <f>SUBTOTAL(9,J102:J104)</f>
        <v/>
      </c>
      <c r="K101" s="12">
        <f>SUBTOTAL(9,K102:K104)</f>
        <v/>
      </c>
      <c r="L101" s="12">
        <f>SUBTOTAL(9,L102:L104)</f>
        <v/>
      </c>
      <c r="M101" s="12">
        <f>SUBTOTAL(9,M102:M104)</f>
        <v/>
      </c>
      <c r="N101" s="12">
        <f>SUBTOTAL(9,N102:N104)</f>
        <v/>
      </c>
      <c r="O101" s="12">
        <f>SUBTOTAL(9,O102:O104)</f>
        <v/>
      </c>
    </row>
    <row r="102" hidden="1" outlineLevel="2">
      <c r="A102" s="13" t="inlineStr">
        <is>
          <t>27.01</t>
        </is>
      </c>
      <c r="B102" s="13" t="inlineStr">
        <is>
          <t xml:space="preserve">      Affitti e locazioni immobili</t>
        </is>
      </c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>
        <f>SUM(C102:N102)</f>
        <v/>
      </c>
    </row>
    <row r="103" hidden="1" outlineLevel="2">
      <c r="A103" s="13" t="inlineStr">
        <is>
          <t>27.02</t>
        </is>
      </c>
      <c r="B103" s="13" t="inlineStr">
        <is>
          <t xml:space="preserve">      Spese condominiali</t>
        </is>
      </c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>
        <f>SUM(C103:N103)</f>
        <v/>
      </c>
    </row>
    <row r="104" hidden="1" outlineLevel="2">
      <c r="A104" s="13" t="inlineStr">
        <is>
          <t>27.03</t>
        </is>
      </c>
      <c r="B104" s="13" t="inlineStr">
        <is>
          <t xml:space="preserve">      Canoni concessori e demaniali</t>
        </is>
      </c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>
        <f>SUM(C104:N104)</f>
        <v/>
      </c>
    </row>
    <row r="105" outlineLevel="1">
      <c r="A105" s="11" t="inlineStr">
        <is>
          <t>E2</t>
        </is>
      </c>
      <c r="B105" s="11" t="inlineStr">
        <is>
          <t xml:space="preserve">   Utenze</t>
        </is>
      </c>
      <c r="C105" s="12">
        <f>SUBTOTAL(9,C106:C111)</f>
        <v/>
      </c>
      <c r="D105" s="12">
        <f>SUBTOTAL(9,D106:D111)</f>
        <v/>
      </c>
      <c r="E105" s="12">
        <f>SUBTOTAL(9,E106:E111)</f>
        <v/>
      </c>
      <c r="F105" s="12">
        <f>SUBTOTAL(9,F106:F111)</f>
        <v/>
      </c>
      <c r="G105" s="12">
        <f>SUBTOTAL(9,G106:G111)</f>
        <v/>
      </c>
      <c r="H105" s="12">
        <f>SUBTOTAL(9,H106:H111)</f>
        <v/>
      </c>
      <c r="I105" s="12">
        <f>SUBTOTAL(9,I106:I111)</f>
        <v/>
      </c>
      <c r="J105" s="12">
        <f>SUBTOTAL(9,J106:J111)</f>
        <v/>
      </c>
      <c r="K105" s="12">
        <f>SUBTOTAL(9,K106:K111)</f>
        <v/>
      </c>
      <c r="L105" s="12">
        <f>SUBTOTAL(9,L106:L111)</f>
        <v/>
      </c>
      <c r="M105" s="12">
        <f>SUBTOTAL(9,M106:M111)</f>
        <v/>
      </c>
      <c r="N105" s="12">
        <f>SUBTOTAL(9,N106:N111)</f>
        <v/>
      </c>
      <c r="O105" s="12">
        <f>SUBTOTAL(9,O106:O111)</f>
        <v/>
      </c>
    </row>
    <row r="106" hidden="1" outlineLevel="2">
      <c r="A106" s="13" t="inlineStr">
        <is>
          <t>22.01</t>
        </is>
      </c>
      <c r="B106" s="13" t="inlineStr">
        <is>
          <t xml:space="preserve">      Energia elettrica</t>
        </is>
      </c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>
        <f>SUM(C106:N106)</f>
        <v/>
      </c>
    </row>
    <row r="107" hidden="1" outlineLevel="2">
      <c r="A107" s="13" t="inlineStr">
        <is>
          <t>22.02</t>
        </is>
      </c>
      <c r="B107" s="13" t="inlineStr">
        <is>
          <t xml:space="preserve">      Gas da rete (metano)</t>
        </is>
      </c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>
        <f>SUM(C107:N107)</f>
        <v/>
      </c>
    </row>
    <row r="108" hidden="1" outlineLevel="2">
      <c r="A108" s="13" t="inlineStr">
        <is>
          <t>22.03</t>
        </is>
      </c>
      <c r="B108" s="13" t="inlineStr">
        <is>
          <t xml:space="preserve">      Acqua</t>
        </is>
      </c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>
        <f>SUM(C108:N108)</f>
        <v/>
      </c>
    </row>
    <row r="109" hidden="1" outlineLevel="2">
      <c r="A109" s="13" t="inlineStr">
        <is>
          <t>22.04</t>
        </is>
      </c>
      <c r="B109" s="13" t="inlineStr">
        <is>
          <t xml:space="preserve">      Telefonia e connettività</t>
        </is>
      </c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>
        <f>SUM(C109:N109)</f>
        <v/>
      </c>
    </row>
    <row r="110" hidden="1" outlineLevel="2">
      <c r="A110" s="13" t="inlineStr">
        <is>
          <t>22.05</t>
        </is>
      </c>
      <c r="B110" s="13" t="inlineStr">
        <is>
          <t xml:space="preserve">      Rifiuti - TARI e servizio smaltimento</t>
        </is>
      </c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>
        <f>SUM(C110:N110)</f>
        <v/>
      </c>
    </row>
    <row r="111" hidden="1" outlineLevel="2">
      <c r="A111" s="13" t="inlineStr">
        <is>
          <t>22.07</t>
        </is>
      </c>
      <c r="B111" s="13" t="inlineStr">
        <is>
          <t xml:space="preserve">      Bombole di gas (GPL)</t>
        </is>
      </c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>
        <f>SUM(C111:N111)</f>
        <v/>
      </c>
    </row>
    <row r="112" outlineLevel="1">
      <c r="A112" s="11" t="inlineStr">
        <is>
          <t>E3</t>
        </is>
      </c>
      <c r="B112" s="11" t="inlineStr">
        <is>
          <t xml:space="preserve">   Noleggi, leasing e licenze</t>
        </is>
      </c>
      <c r="C112" s="12">
        <f>SUBTOTAL(9,C113:C117)</f>
        <v/>
      </c>
      <c r="D112" s="12">
        <f>SUBTOTAL(9,D113:D117)</f>
        <v/>
      </c>
      <c r="E112" s="12">
        <f>SUBTOTAL(9,E113:E117)</f>
        <v/>
      </c>
      <c r="F112" s="12">
        <f>SUBTOTAL(9,F113:F117)</f>
        <v/>
      </c>
      <c r="G112" s="12">
        <f>SUBTOTAL(9,G113:G117)</f>
        <v/>
      </c>
      <c r="H112" s="12">
        <f>SUBTOTAL(9,H113:H117)</f>
        <v/>
      </c>
      <c r="I112" s="12">
        <f>SUBTOTAL(9,I113:I117)</f>
        <v/>
      </c>
      <c r="J112" s="12">
        <f>SUBTOTAL(9,J113:J117)</f>
        <v/>
      </c>
      <c r="K112" s="12">
        <f>SUBTOTAL(9,K113:K117)</f>
        <v/>
      </c>
      <c r="L112" s="12">
        <f>SUBTOTAL(9,L113:L117)</f>
        <v/>
      </c>
      <c r="M112" s="12">
        <f>SUBTOTAL(9,M113:M117)</f>
        <v/>
      </c>
      <c r="N112" s="12">
        <f>SUBTOTAL(9,N113:N117)</f>
        <v/>
      </c>
      <c r="O112" s="12">
        <f>SUBTOTAL(9,O113:O117)</f>
        <v/>
      </c>
    </row>
    <row r="113" hidden="1" outlineLevel="2">
      <c r="A113" s="13" t="inlineStr">
        <is>
          <t>27.04</t>
        </is>
      </c>
      <c r="B113" s="13" t="inlineStr">
        <is>
          <t xml:space="preserve">      Noleggio attrezzature</t>
        </is>
      </c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>
        <f>SUM(C113:N113)</f>
        <v/>
      </c>
    </row>
    <row r="114" hidden="1" outlineLevel="2">
      <c r="A114" s="13" t="inlineStr">
        <is>
          <t>27.05</t>
        </is>
      </c>
      <c r="B114" s="13" t="inlineStr">
        <is>
          <t xml:space="preserve">      Noleggio automezzi</t>
        </is>
      </c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>
        <f>SUM(C114:N114)</f>
        <v/>
      </c>
    </row>
    <row r="115" hidden="1" outlineLevel="2">
      <c r="A115" s="13" t="inlineStr">
        <is>
          <t>27.06</t>
        </is>
      </c>
      <c r="B115" s="13" t="inlineStr">
        <is>
          <t xml:space="preserve">      Canoni di leasing</t>
        </is>
      </c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>
        <f>SUM(C115:N115)</f>
        <v/>
      </c>
    </row>
    <row r="116" hidden="1" outlineLevel="2">
      <c r="A116" s="13" t="inlineStr">
        <is>
          <t>27.07</t>
        </is>
      </c>
      <c r="B116" s="13" t="inlineStr">
        <is>
          <t xml:space="preserve">      Licenze software e canoni SaaS (POS, gestionale)</t>
        </is>
      </c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>
        <f>SUM(C116:N116)</f>
        <v/>
      </c>
    </row>
    <row r="117" hidden="1" outlineLevel="2">
      <c r="A117" s="13" t="inlineStr">
        <is>
          <t>27.08</t>
        </is>
      </c>
      <c r="B117" s="13" t="inlineStr">
        <is>
          <t xml:space="preserve">      Royalties e diritti d'uso marchio</t>
        </is>
      </c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>
        <f>SUM(C117:N117)</f>
        <v/>
      </c>
    </row>
    <row r="118" outlineLevel="1">
      <c r="A118" s="11" t="inlineStr">
        <is>
          <t>E4</t>
        </is>
      </c>
      <c r="B118" s="11" t="inlineStr">
        <is>
          <t xml:space="preserve">   Manutenzioni e servizi operativi</t>
        </is>
      </c>
      <c r="C118" s="12">
        <f>SUBTOTAL(9,C119:C123)</f>
        <v/>
      </c>
      <c r="D118" s="12">
        <f>SUBTOTAL(9,D119:D123)</f>
        <v/>
      </c>
      <c r="E118" s="12">
        <f>SUBTOTAL(9,E119:E123)</f>
        <v/>
      </c>
      <c r="F118" s="12">
        <f>SUBTOTAL(9,F119:F123)</f>
        <v/>
      </c>
      <c r="G118" s="12">
        <f>SUBTOTAL(9,G119:G123)</f>
        <v/>
      </c>
      <c r="H118" s="12">
        <f>SUBTOTAL(9,H119:H123)</f>
        <v/>
      </c>
      <c r="I118" s="12">
        <f>SUBTOTAL(9,I119:I123)</f>
        <v/>
      </c>
      <c r="J118" s="12">
        <f>SUBTOTAL(9,J119:J123)</f>
        <v/>
      </c>
      <c r="K118" s="12">
        <f>SUBTOTAL(9,K119:K123)</f>
        <v/>
      </c>
      <c r="L118" s="12">
        <f>SUBTOTAL(9,L119:L123)</f>
        <v/>
      </c>
      <c r="M118" s="12">
        <f>SUBTOTAL(9,M119:M123)</f>
        <v/>
      </c>
      <c r="N118" s="12">
        <f>SUBTOTAL(9,N119:N123)</f>
        <v/>
      </c>
      <c r="O118" s="12">
        <f>SUBTOTAL(9,O119:O123)</f>
        <v/>
      </c>
    </row>
    <row r="119" hidden="1" outlineLevel="2">
      <c r="A119" s="13" t="inlineStr">
        <is>
          <t>23.01</t>
        </is>
      </c>
      <c r="B119" s="13" t="inlineStr">
        <is>
          <t xml:space="preserve">      Manutenzioni e riparazioni</t>
        </is>
      </c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>
        <f>SUM(C119:N119)</f>
        <v/>
      </c>
    </row>
    <row r="120" hidden="1" outlineLevel="2">
      <c r="A120" s="13" t="inlineStr">
        <is>
          <t>23.02</t>
        </is>
      </c>
      <c r="B120" s="13" t="inlineStr">
        <is>
          <t xml:space="preserve">      Contratti di manutenzione a canone</t>
        </is>
      </c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>
        <f>SUM(C120:N120)</f>
        <v/>
      </c>
    </row>
    <row r="121" hidden="1" outlineLevel="2">
      <c r="A121" s="13" t="inlineStr">
        <is>
          <t>23.03</t>
        </is>
      </c>
      <c r="B121" s="13" t="inlineStr">
        <is>
          <t xml:space="preserve">      Servizi di pulizia esterni</t>
        </is>
      </c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>
        <f>SUM(C121:N121)</f>
        <v/>
      </c>
    </row>
    <row r="122" hidden="1" outlineLevel="2">
      <c r="A122" s="13" t="inlineStr">
        <is>
          <t>23.05</t>
        </is>
      </c>
      <c r="B122" s="13" t="inlineStr">
        <is>
          <t xml:space="preserve">      Vigilanza e servizi di sicurezza</t>
        </is>
      </c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>
        <f>SUM(C122:N122)</f>
        <v/>
      </c>
    </row>
    <row r="123" hidden="1" outlineLevel="2">
      <c r="A123" s="13" t="inlineStr">
        <is>
          <t>23.07</t>
        </is>
      </c>
      <c r="B123" s="13" t="inlineStr">
        <is>
          <t xml:space="preserve">      Disinfestazione e derattizzazione</t>
        </is>
      </c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>
        <f>SUM(C123:N123)</f>
        <v/>
      </c>
    </row>
    <row r="124" outlineLevel="1">
      <c r="A124" s="11" t="inlineStr">
        <is>
          <t>E5</t>
        </is>
      </c>
      <c r="B124" s="11" t="inlineStr">
        <is>
          <t xml:space="preserve">   Attrezzatura e allestimenti</t>
        </is>
      </c>
      <c r="C124" s="12">
        <f>SUBTOTAL(9,C125:C131)</f>
        <v/>
      </c>
      <c r="D124" s="12">
        <f>SUBTOTAL(9,D125:D131)</f>
        <v/>
      </c>
      <c r="E124" s="12">
        <f>SUBTOTAL(9,E125:E131)</f>
        <v/>
      </c>
      <c r="F124" s="12">
        <f>SUBTOTAL(9,F125:F131)</f>
        <v/>
      </c>
      <c r="G124" s="12">
        <f>SUBTOTAL(9,G125:G131)</f>
        <v/>
      </c>
      <c r="H124" s="12">
        <f>SUBTOTAL(9,H125:H131)</f>
        <v/>
      </c>
      <c r="I124" s="12">
        <f>SUBTOTAL(9,I125:I131)</f>
        <v/>
      </c>
      <c r="J124" s="12">
        <f>SUBTOTAL(9,J125:J131)</f>
        <v/>
      </c>
      <c r="K124" s="12">
        <f>SUBTOTAL(9,K125:K131)</f>
        <v/>
      </c>
      <c r="L124" s="12">
        <f>SUBTOTAL(9,L125:L131)</f>
        <v/>
      </c>
      <c r="M124" s="12">
        <f>SUBTOTAL(9,M125:M131)</f>
        <v/>
      </c>
      <c r="N124" s="12">
        <f>SUBTOTAL(9,N125:N131)</f>
        <v/>
      </c>
      <c r="O124" s="12">
        <f>SUBTOTAL(9,O125:O131)</f>
        <v/>
      </c>
    </row>
    <row r="125" hidden="1" outlineLevel="2">
      <c r="A125" s="13" t="inlineStr">
        <is>
          <t>21.01</t>
        </is>
      </c>
      <c r="B125" s="13" t="inlineStr">
        <is>
          <t xml:space="preserve">      Vetreria e attrezzatura bar</t>
        </is>
      </c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>
        <f>SUM(C125:N125)</f>
        <v/>
      </c>
    </row>
    <row r="126" hidden="1" outlineLevel="2">
      <c r="A126" s="13" t="inlineStr">
        <is>
          <t>21.02</t>
        </is>
      </c>
      <c r="B126" s="13" t="inlineStr">
        <is>
          <t xml:space="preserve">      Stoviglie, posateria e complementi sala</t>
        </is>
      </c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>
        <f>SUM(C126:N126)</f>
        <v/>
      </c>
    </row>
    <row r="127" hidden="1" outlineLevel="2">
      <c r="A127" s="13" t="inlineStr">
        <is>
          <t>21.03</t>
        </is>
      </c>
      <c r="B127" s="13" t="inlineStr">
        <is>
          <t xml:space="preserve">      Piccola attrezzatura cucina</t>
        </is>
      </c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>
        <f>SUM(C127:N127)</f>
        <v/>
      </c>
    </row>
    <row r="128" hidden="1" outlineLevel="2">
      <c r="A128" s="13" t="inlineStr">
        <is>
          <t>21.04</t>
        </is>
      </c>
      <c r="B128" s="13" t="inlineStr">
        <is>
          <t xml:space="preserve">      Beni strumentali &lt; 516,46 EUR</t>
        </is>
      </c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>
        <f>SUM(C128:N128)</f>
        <v/>
      </c>
    </row>
    <row r="129" hidden="1" outlineLevel="2">
      <c r="A129" s="13" t="inlineStr">
        <is>
          <t>21.05</t>
        </is>
      </c>
      <c r="B129" s="13" t="inlineStr">
        <is>
          <t xml:space="preserve">      Arredi e complementi minuti</t>
        </is>
      </c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>
        <f>SUM(C129:N129)</f>
        <v/>
      </c>
    </row>
    <row r="130" hidden="1" outlineLevel="2">
      <c r="A130" s="13" t="inlineStr">
        <is>
          <t>21.06</t>
        </is>
      </c>
      <c r="B130" s="13" t="inlineStr">
        <is>
          <t xml:space="preserve">      Divise e abbigliamento personale</t>
        </is>
      </c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>
        <f>SUM(C130:N130)</f>
        <v/>
      </c>
    </row>
    <row r="131" hidden="1" outlineLevel="2">
      <c r="A131" s="13" t="inlineStr">
        <is>
          <t>21.07</t>
        </is>
      </c>
      <c r="B131" s="13" t="inlineStr">
        <is>
          <t xml:space="preserve">      Allestimenti, fiori e decorazioni locale</t>
        </is>
      </c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>
        <f>SUM(C131:N131)</f>
        <v/>
      </c>
    </row>
    <row r="132" outlineLevel="1">
      <c r="A132" s="11" t="inlineStr">
        <is>
          <t>E6</t>
        </is>
      </c>
      <c r="B132" s="11" t="inlineStr">
        <is>
          <t xml:space="preserve">   Servizi professionali e amministrativi</t>
        </is>
      </c>
      <c r="C132" s="12">
        <f>SUBTOTAL(9,C133:C141)</f>
        <v/>
      </c>
      <c r="D132" s="12">
        <f>SUBTOTAL(9,D133:D141)</f>
        <v/>
      </c>
      <c r="E132" s="12">
        <f>SUBTOTAL(9,E133:E141)</f>
        <v/>
      </c>
      <c r="F132" s="12">
        <f>SUBTOTAL(9,F133:F141)</f>
        <v/>
      </c>
      <c r="G132" s="12">
        <f>SUBTOTAL(9,G133:G141)</f>
        <v/>
      </c>
      <c r="H132" s="12">
        <f>SUBTOTAL(9,H133:H141)</f>
        <v/>
      </c>
      <c r="I132" s="12">
        <f>SUBTOTAL(9,I133:I141)</f>
        <v/>
      </c>
      <c r="J132" s="12">
        <f>SUBTOTAL(9,J133:J141)</f>
        <v/>
      </c>
      <c r="K132" s="12">
        <f>SUBTOTAL(9,K133:K141)</f>
        <v/>
      </c>
      <c r="L132" s="12">
        <f>SUBTOTAL(9,L133:L141)</f>
        <v/>
      </c>
      <c r="M132" s="12">
        <f>SUBTOTAL(9,M133:M141)</f>
        <v/>
      </c>
      <c r="N132" s="12">
        <f>SUBTOTAL(9,N133:N141)</f>
        <v/>
      </c>
      <c r="O132" s="12">
        <f>SUBTOTAL(9,O133:O141)</f>
        <v/>
      </c>
    </row>
    <row r="133" hidden="1" outlineLevel="2">
      <c r="A133" s="13" t="inlineStr">
        <is>
          <t>24.01</t>
        </is>
      </c>
      <c r="B133" s="13" t="inlineStr">
        <is>
          <t xml:space="preserve">      Consulenza contabile, fiscale e dichiarazioni</t>
        </is>
      </c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>
        <f>SUM(C133:N133)</f>
        <v/>
      </c>
    </row>
    <row r="134" hidden="1" outlineLevel="2">
      <c r="A134" s="13" t="inlineStr">
        <is>
          <t>24.02</t>
        </is>
      </c>
      <c r="B134" s="13" t="inlineStr">
        <is>
          <t xml:space="preserve">      Servizi elaborazione paghe</t>
        </is>
      </c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>
        <f>SUM(C134:N134)</f>
        <v/>
      </c>
    </row>
    <row r="135" hidden="1" outlineLevel="2">
      <c r="A135" s="13" t="inlineStr">
        <is>
          <t>24.03</t>
        </is>
      </c>
      <c r="B135" s="13" t="inlineStr">
        <is>
          <t xml:space="preserve">      Consulenze legali</t>
        </is>
      </c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>
        <f>SUM(C135:N135)</f>
        <v/>
      </c>
    </row>
    <row r="136" hidden="1" outlineLevel="2">
      <c r="A136" s="13" t="inlineStr">
        <is>
          <t>24.04</t>
        </is>
      </c>
      <c r="B136" s="13" t="inlineStr">
        <is>
          <t xml:space="preserve">      Consulenze tecniche e progettazione</t>
        </is>
      </c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>
        <f>SUM(C136:N136)</f>
        <v/>
      </c>
    </row>
    <row r="137" hidden="1" outlineLevel="2">
      <c r="A137" s="13" t="inlineStr">
        <is>
          <t>24.05</t>
        </is>
      </c>
      <c r="B137" s="13" t="inlineStr">
        <is>
          <t xml:space="preserve">      Consulenza del lavoro e sicurezza (D.Lgs. 81/08)</t>
        </is>
      </c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>
        <f>SUM(C137:N137)</f>
        <v/>
      </c>
    </row>
    <row r="138" hidden="1" outlineLevel="2">
      <c r="A138" s="13" t="inlineStr">
        <is>
          <t>24.06</t>
        </is>
      </c>
      <c r="B138" s="13" t="inlineStr">
        <is>
          <t xml:space="preserve">      Medico competente e sorveglianza sanitaria</t>
        </is>
      </c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>
        <f>SUM(C138:N138)</f>
        <v/>
      </c>
    </row>
    <row r="139" hidden="1" outlineLevel="2">
      <c r="A139" s="13" t="inlineStr">
        <is>
          <t>24.07</t>
        </is>
      </c>
      <c r="B139" s="13" t="inlineStr">
        <is>
          <t xml:space="preserve">      Formazione, HACCP e certificazioni</t>
        </is>
      </c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>
        <f>SUM(C139:N139)</f>
        <v/>
      </c>
    </row>
    <row r="140" hidden="1" outlineLevel="2">
      <c r="A140" s="13" t="inlineStr">
        <is>
          <t>24.08</t>
        </is>
      </c>
      <c r="B140" s="13" t="inlineStr">
        <is>
          <t xml:space="preserve">      Spese notarili e camerali</t>
        </is>
      </c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>
        <f>SUM(C140:N140)</f>
        <v/>
      </c>
    </row>
    <row r="141" hidden="1" outlineLevel="2">
      <c r="A141" s="13" t="inlineStr">
        <is>
          <t>24.09</t>
        </is>
      </c>
      <c r="B141" s="13" t="inlineStr">
        <is>
          <t xml:space="preserve">      Cancelleria e stampati</t>
        </is>
      </c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>
        <f>SUM(C141:N141)</f>
        <v/>
      </c>
    </row>
    <row r="142" outlineLevel="1">
      <c r="A142" s="11" t="inlineStr">
        <is>
          <t>E7</t>
        </is>
      </c>
      <c r="B142" s="11" t="inlineStr">
        <is>
          <t xml:space="preserve">   Marketing e comunicazione</t>
        </is>
      </c>
      <c r="C142" s="12">
        <f>SUBTOTAL(9,C143:C150)</f>
        <v/>
      </c>
      <c r="D142" s="12">
        <f>SUBTOTAL(9,D143:D150)</f>
        <v/>
      </c>
      <c r="E142" s="12">
        <f>SUBTOTAL(9,E143:E150)</f>
        <v/>
      </c>
      <c r="F142" s="12">
        <f>SUBTOTAL(9,F143:F150)</f>
        <v/>
      </c>
      <c r="G142" s="12">
        <f>SUBTOTAL(9,G143:G150)</f>
        <v/>
      </c>
      <c r="H142" s="12">
        <f>SUBTOTAL(9,H143:H150)</f>
        <v/>
      </c>
      <c r="I142" s="12">
        <f>SUBTOTAL(9,I143:I150)</f>
        <v/>
      </c>
      <c r="J142" s="12">
        <f>SUBTOTAL(9,J143:J150)</f>
        <v/>
      </c>
      <c r="K142" s="12">
        <f>SUBTOTAL(9,K143:K150)</f>
        <v/>
      </c>
      <c r="L142" s="12">
        <f>SUBTOTAL(9,L143:L150)</f>
        <v/>
      </c>
      <c r="M142" s="12">
        <f>SUBTOTAL(9,M143:M150)</f>
        <v/>
      </c>
      <c r="N142" s="12">
        <f>SUBTOTAL(9,N143:N150)</f>
        <v/>
      </c>
      <c r="O142" s="12">
        <f>SUBTOTAL(9,O143:O150)</f>
        <v/>
      </c>
    </row>
    <row r="143" hidden="1" outlineLevel="2">
      <c r="A143" s="13" t="inlineStr">
        <is>
          <t>25.01</t>
        </is>
      </c>
      <c r="B143" s="13" t="inlineStr">
        <is>
          <t xml:space="preserve">      Advertising online e sponsorizzate</t>
        </is>
      </c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>
        <f>SUM(C143:N143)</f>
        <v/>
      </c>
    </row>
    <row r="144" hidden="1" outlineLevel="2">
      <c r="A144" s="13" t="inlineStr">
        <is>
          <t>25.02</t>
        </is>
      </c>
      <c r="B144" s="13" t="inlineStr">
        <is>
          <t xml:space="preserve">      Servizi fotografici e video</t>
        </is>
      </c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>
        <f>SUM(C144:N144)</f>
        <v/>
      </c>
    </row>
    <row r="145" hidden="1" outlineLevel="2">
      <c r="A145" s="13" t="inlineStr">
        <is>
          <t>25.03</t>
        </is>
      </c>
      <c r="B145" s="13" t="inlineStr">
        <is>
          <t xml:space="preserve">      Grafica e design</t>
        </is>
      </c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>
        <f>SUM(C145:N145)</f>
        <v/>
      </c>
    </row>
    <row r="146" hidden="1" outlineLevel="2">
      <c r="A146" s="13" t="inlineStr">
        <is>
          <t>25.04</t>
        </is>
      </c>
      <c r="B146" s="13" t="inlineStr">
        <is>
          <t xml:space="preserve">      Social media management</t>
        </is>
      </c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>
        <f>SUM(C146:N146)</f>
        <v/>
      </c>
    </row>
    <row r="147" hidden="1" outlineLevel="2">
      <c r="A147" s="13" t="inlineStr">
        <is>
          <t>25.05</t>
        </is>
      </c>
      <c r="B147" s="13" t="inlineStr">
        <is>
          <t xml:space="preserve">      Stampati, menu e materiale promozionale</t>
        </is>
      </c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>
        <f>SUM(C147:N147)</f>
        <v/>
      </c>
    </row>
    <row r="148" hidden="1" outlineLevel="2">
      <c r="A148" s="13" t="inlineStr">
        <is>
          <t>25.06</t>
        </is>
      </c>
      <c r="B148" s="13" t="inlineStr">
        <is>
          <t xml:space="preserve">      Sito web, domini e hosting</t>
        </is>
      </c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>
        <f>SUM(C148:N148)</f>
        <v/>
      </c>
    </row>
    <row r="149" hidden="1" outlineLevel="2">
      <c r="A149" s="13" t="inlineStr">
        <is>
          <t>25.07</t>
        </is>
      </c>
      <c r="B149" s="13" t="inlineStr">
        <is>
          <t xml:space="preserve">      Pubbliche relazioni e attività PR</t>
        </is>
      </c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>
        <f>SUM(C149:N149)</f>
        <v/>
      </c>
    </row>
    <row r="150" hidden="1" outlineLevel="2">
      <c r="A150" s="13" t="inlineStr">
        <is>
          <t>25.08</t>
        </is>
      </c>
      <c r="B150" s="13" t="inlineStr">
        <is>
          <t xml:space="preserve">      Sponsorizzazioni passive e contributi a terzi</t>
        </is>
      </c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>
        <f>SUM(C150:N150)</f>
        <v/>
      </c>
    </row>
    <row r="151" outlineLevel="1">
      <c r="A151" s="11" t="inlineStr">
        <is>
          <t>E8</t>
        </is>
      </c>
      <c r="B151" s="11" t="inlineStr">
        <is>
          <t xml:space="preserve">   Tributi, assicurazioni e oneri diversi</t>
        </is>
      </c>
      <c r="C151" s="12">
        <f>SUBTOTAL(9,C152:C164)</f>
        <v/>
      </c>
      <c r="D151" s="12">
        <f>SUBTOTAL(9,D152:D164)</f>
        <v/>
      </c>
      <c r="E151" s="12">
        <f>SUBTOTAL(9,E152:E164)</f>
        <v/>
      </c>
      <c r="F151" s="12">
        <f>SUBTOTAL(9,F152:F164)</f>
        <v/>
      </c>
      <c r="G151" s="12">
        <f>SUBTOTAL(9,G152:G164)</f>
        <v/>
      </c>
      <c r="H151" s="12">
        <f>SUBTOTAL(9,H152:H164)</f>
        <v/>
      </c>
      <c r="I151" s="12">
        <f>SUBTOTAL(9,I152:I164)</f>
        <v/>
      </c>
      <c r="J151" s="12">
        <f>SUBTOTAL(9,J152:J164)</f>
        <v/>
      </c>
      <c r="K151" s="12">
        <f>SUBTOTAL(9,K152:K164)</f>
        <v/>
      </c>
      <c r="L151" s="12">
        <f>SUBTOTAL(9,L152:L164)</f>
        <v/>
      </c>
      <c r="M151" s="12">
        <f>SUBTOTAL(9,M152:M164)</f>
        <v/>
      </c>
      <c r="N151" s="12">
        <f>SUBTOTAL(9,N152:N164)</f>
        <v/>
      </c>
      <c r="O151" s="12">
        <f>SUBTOTAL(9,O152:O164)</f>
        <v/>
      </c>
    </row>
    <row r="152" hidden="1" outlineLevel="2">
      <c r="A152" s="13" t="inlineStr">
        <is>
          <t>30.01</t>
        </is>
      </c>
      <c r="B152" s="13" t="inlineStr">
        <is>
          <t xml:space="preserve">      Imposta di bollo</t>
        </is>
      </c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>
        <f>SUM(C152:N152)</f>
        <v/>
      </c>
    </row>
    <row r="153" hidden="1" outlineLevel="2">
      <c r="A153" s="13" t="inlineStr">
        <is>
          <t>30.02</t>
        </is>
      </c>
      <c r="B153" s="13" t="inlineStr">
        <is>
          <t xml:space="preserve">      Tassa annuale vidimazione libri sociali</t>
        </is>
      </c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>
        <f>SUM(C153:N153)</f>
        <v/>
      </c>
    </row>
    <row r="154" hidden="1" outlineLevel="2">
      <c r="A154" s="13" t="inlineStr">
        <is>
          <t>30.03</t>
        </is>
      </c>
      <c r="B154" s="13" t="inlineStr">
        <is>
          <t xml:space="preserve">      Diritti camerali, catastali e vari</t>
        </is>
      </c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>
        <f>SUM(C154:N154)</f>
        <v/>
      </c>
    </row>
    <row r="155" hidden="1" outlineLevel="2">
      <c r="A155" s="13" t="inlineStr">
        <is>
          <t>30.04</t>
        </is>
      </c>
      <c r="B155" s="13" t="inlineStr">
        <is>
          <t xml:space="preserve">      Imposte comunali sugli immobili (IMU / ILIA)</t>
        </is>
      </c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>
        <f>SUM(C155:N155)</f>
        <v/>
      </c>
    </row>
    <row r="156" hidden="1" outlineLevel="2">
      <c r="A156" s="13" t="inlineStr">
        <is>
          <t>30.05</t>
        </is>
      </c>
      <c r="B156" s="13" t="inlineStr">
        <is>
          <t xml:space="preserve">      Occupazione suolo pubblico (COSAP / CUP)</t>
        </is>
      </c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>
        <f>SUM(C156:N156)</f>
        <v/>
      </c>
    </row>
    <row r="157" hidden="1" outlineLevel="2">
      <c r="A157" s="13" t="inlineStr">
        <is>
          <t>30.06</t>
        </is>
      </c>
      <c r="B157" s="13" t="inlineStr">
        <is>
          <t xml:space="preserve">      Abbonamenti, riviste e pubblicazioni</t>
        </is>
      </c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>
        <f>SUM(C157:N157)</f>
        <v/>
      </c>
    </row>
    <row r="158" hidden="1" outlineLevel="2">
      <c r="A158" s="13" t="inlineStr">
        <is>
          <t>30.07</t>
        </is>
      </c>
      <c r="B158" s="13" t="inlineStr">
        <is>
          <t xml:space="preserve">      Quote associative di categoria</t>
        </is>
      </c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>
        <f>SUM(C158:N158)</f>
        <v/>
      </c>
    </row>
    <row r="159" hidden="1" outlineLevel="2">
      <c r="A159" s="13" t="inlineStr">
        <is>
          <t>30.08</t>
        </is>
      </c>
      <c r="B159" s="13" t="inlineStr">
        <is>
          <t xml:space="preserve">      Assicurazioni</t>
        </is>
      </c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>
        <f>SUM(C159:N159)</f>
        <v/>
      </c>
    </row>
    <row r="160" hidden="1" outlineLevel="2">
      <c r="A160" s="13" t="inlineStr">
        <is>
          <t>30.09</t>
        </is>
      </c>
      <c r="B160" s="13" t="inlineStr">
        <is>
          <t xml:space="preserve">      Sanzioni tributarie, previdenziali e penalità</t>
        </is>
      </c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>
        <f>SUM(C160:N160)</f>
        <v/>
      </c>
    </row>
    <row r="161" hidden="1" outlineLevel="2">
      <c r="A161" s="13" t="inlineStr">
        <is>
          <t>30.10</t>
        </is>
      </c>
      <c r="B161" s="13" t="inlineStr">
        <is>
          <t xml:space="preserve">      Sopravvenienze passive</t>
        </is>
      </c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>
        <f>SUM(C161:N161)</f>
        <v/>
      </c>
    </row>
    <row r="162" hidden="1" outlineLevel="2">
      <c r="A162" s="13" t="inlineStr">
        <is>
          <t>30.13</t>
        </is>
      </c>
      <c r="B162" s="13" t="inlineStr">
        <is>
          <t xml:space="preserve">      Altri oneri di gestione</t>
        </is>
      </c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>
        <f>SUM(C162:N162)</f>
        <v/>
      </c>
    </row>
    <row r="163" hidden="1" outlineLevel="2">
      <c r="A163" s="13" t="inlineStr">
        <is>
          <t>30.14</t>
        </is>
      </c>
      <c r="B163" s="13" t="inlineStr">
        <is>
          <t xml:space="preserve">      SIAE e SCF musica d'ambiente</t>
        </is>
      </c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>
        <f>SUM(C163:N163)</f>
        <v/>
      </c>
    </row>
    <row r="164" hidden="1" outlineLevel="2">
      <c r="A164" s="13" t="inlineStr">
        <is>
          <t>30.15</t>
        </is>
      </c>
      <c r="B164" s="13" t="inlineStr">
        <is>
          <t xml:space="preserve">      Differenze e ammanchi di cassa</t>
        </is>
      </c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>
        <f>SUM(C164:N164)</f>
        <v/>
      </c>
    </row>
    <row r="166">
      <c r="A166" s="9" t="inlineStr">
        <is>
          <t>F</t>
        </is>
      </c>
      <c r="B166" s="9" t="inlineStr">
        <is>
          <t>ONERI FINANZIARI</t>
        </is>
      </c>
      <c r="C166" s="10">
        <f>SUBTOTAL(9,C167:C182)</f>
        <v/>
      </c>
      <c r="D166" s="10">
        <f>SUBTOTAL(9,D167:D182)</f>
        <v/>
      </c>
      <c r="E166" s="10">
        <f>SUBTOTAL(9,E167:E182)</f>
        <v/>
      </c>
      <c r="F166" s="10">
        <f>SUBTOTAL(9,F167:F182)</f>
        <v/>
      </c>
      <c r="G166" s="10">
        <f>SUBTOTAL(9,G167:G182)</f>
        <v/>
      </c>
      <c r="H166" s="10">
        <f>SUBTOTAL(9,H167:H182)</f>
        <v/>
      </c>
      <c r="I166" s="10">
        <f>SUBTOTAL(9,I167:I182)</f>
        <v/>
      </c>
      <c r="J166" s="10">
        <f>SUBTOTAL(9,J167:J182)</f>
        <v/>
      </c>
      <c r="K166" s="10">
        <f>SUBTOTAL(9,K167:K182)</f>
        <v/>
      </c>
      <c r="L166" s="10">
        <f>SUBTOTAL(9,L167:L182)</f>
        <v/>
      </c>
      <c r="M166" s="10">
        <f>SUBTOTAL(9,M167:M182)</f>
        <v/>
      </c>
      <c r="N166" s="10">
        <f>SUBTOTAL(9,N167:N182)</f>
        <v/>
      </c>
      <c r="O166" s="10">
        <f>SUBTOTAL(9,O167:O182)</f>
        <v/>
      </c>
    </row>
    <row r="167" outlineLevel="1">
      <c r="A167" s="11" t="inlineStr">
        <is>
          <t>F1</t>
        </is>
      </c>
      <c r="B167" s="11" t="inlineStr">
        <is>
          <t xml:space="preserve">   Interessi passivi</t>
        </is>
      </c>
      <c r="C167" s="12">
        <f>SUBTOTAL(9,C168:C171)</f>
        <v/>
      </c>
      <c r="D167" s="12">
        <f>SUBTOTAL(9,D168:D171)</f>
        <v/>
      </c>
      <c r="E167" s="12">
        <f>SUBTOTAL(9,E168:E171)</f>
        <v/>
      </c>
      <c r="F167" s="12">
        <f>SUBTOTAL(9,F168:F171)</f>
        <v/>
      </c>
      <c r="G167" s="12">
        <f>SUBTOTAL(9,G168:G171)</f>
        <v/>
      </c>
      <c r="H167" s="12">
        <f>SUBTOTAL(9,H168:H171)</f>
        <v/>
      </c>
      <c r="I167" s="12">
        <f>SUBTOTAL(9,I168:I171)</f>
        <v/>
      </c>
      <c r="J167" s="12">
        <f>SUBTOTAL(9,J168:J171)</f>
        <v/>
      </c>
      <c r="K167" s="12">
        <f>SUBTOTAL(9,K168:K171)</f>
        <v/>
      </c>
      <c r="L167" s="12">
        <f>SUBTOTAL(9,L168:L171)</f>
        <v/>
      </c>
      <c r="M167" s="12">
        <f>SUBTOTAL(9,M168:M171)</f>
        <v/>
      </c>
      <c r="N167" s="12">
        <f>SUBTOTAL(9,N168:N171)</f>
        <v/>
      </c>
      <c r="O167" s="12">
        <f>SUBTOTAL(9,O168:O171)</f>
        <v/>
      </c>
    </row>
    <row r="168" hidden="1" outlineLevel="2">
      <c r="A168" s="13" t="inlineStr">
        <is>
          <t>32.1.01</t>
        </is>
      </c>
      <c r="B168" s="13" t="inlineStr">
        <is>
          <t xml:space="preserve">      Interessi su mutui</t>
        </is>
      </c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>
        <f>SUM(C168:N168)</f>
        <v/>
      </c>
    </row>
    <row r="169" hidden="1" outlineLevel="2">
      <c r="A169" s="13" t="inlineStr">
        <is>
          <t>32.1.02</t>
        </is>
      </c>
      <c r="B169" s="13" t="inlineStr">
        <is>
          <t xml:space="preserve">      Interessi su finanziamenti e conti correnti</t>
        </is>
      </c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>
        <f>SUM(C169:N169)</f>
        <v/>
      </c>
    </row>
    <row r="170" hidden="1" outlineLevel="2">
      <c r="A170" s="13" t="inlineStr">
        <is>
          <t>32.1.03</t>
        </is>
      </c>
      <c r="B170" s="13" t="inlineStr">
        <is>
          <t xml:space="preserve">      Interessi di mora verso fornitori</t>
        </is>
      </c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>
        <f>SUM(C170:N170)</f>
        <v/>
      </c>
    </row>
    <row r="171" hidden="1" outlineLevel="2">
      <c r="A171" s="13" t="inlineStr">
        <is>
          <t>32.1.04</t>
        </is>
      </c>
      <c r="B171" s="13" t="inlineStr">
        <is>
          <t xml:space="preserve">      Interessi da ravvedimento operoso</t>
        </is>
      </c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>
        <f>SUM(C171:N171)</f>
        <v/>
      </c>
    </row>
    <row r="172" outlineLevel="1">
      <c r="A172" s="11" t="inlineStr">
        <is>
          <t>F2</t>
        </is>
      </c>
      <c r="B172" s="11" t="inlineStr">
        <is>
          <t xml:space="preserve">   Spese e servizi bancari</t>
        </is>
      </c>
      <c r="C172" s="12">
        <f>SUBTOTAL(9,C173:C176)</f>
        <v/>
      </c>
      <c r="D172" s="12">
        <f>SUBTOTAL(9,D173:D176)</f>
        <v/>
      </c>
      <c r="E172" s="12">
        <f>SUBTOTAL(9,E173:E176)</f>
        <v/>
      </c>
      <c r="F172" s="12">
        <f>SUBTOTAL(9,F173:F176)</f>
        <v/>
      </c>
      <c r="G172" s="12">
        <f>SUBTOTAL(9,G173:G176)</f>
        <v/>
      </c>
      <c r="H172" s="12">
        <f>SUBTOTAL(9,H173:H176)</f>
        <v/>
      </c>
      <c r="I172" s="12">
        <f>SUBTOTAL(9,I173:I176)</f>
        <v/>
      </c>
      <c r="J172" s="12">
        <f>SUBTOTAL(9,J173:J176)</f>
        <v/>
      </c>
      <c r="K172" s="12">
        <f>SUBTOTAL(9,K173:K176)</f>
        <v/>
      </c>
      <c r="L172" s="12">
        <f>SUBTOTAL(9,L173:L176)</f>
        <v/>
      </c>
      <c r="M172" s="12">
        <f>SUBTOTAL(9,M173:M176)</f>
        <v/>
      </c>
      <c r="N172" s="12">
        <f>SUBTOTAL(9,N173:N176)</f>
        <v/>
      </c>
      <c r="O172" s="12">
        <f>SUBTOTAL(9,O173:O176)</f>
        <v/>
      </c>
    </row>
    <row r="173" hidden="1" outlineLevel="2">
      <c r="A173" s="13" t="inlineStr">
        <is>
          <t>32.2.01</t>
        </is>
      </c>
      <c r="B173" s="13" t="inlineStr">
        <is>
          <t xml:space="preserve">      Spese di tenuta conto e servizi bancari</t>
        </is>
      </c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>
        <f>SUM(C173:N173)</f>
        <v/>
      </c>
    </row>
    <row r="174" hidden="1" outlineLevel="2">
      <c r="A174" s="13" t="inlineStr">
        <is>
          <t>32.2.02</t>
        </is>
      </c>
      <c r="B174" s="13" t="inlineStr">
        <is>
          <t xml:space="preserve">      Commissioni su bonifici</t>
        </is>
      </c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>
        <f>SUM(C174:N174)</f>
        <v/>
      </c>
    </row>
    <row r="175" hidden="1" outlineLevel="2">
      <c r="A175" s="13" t="inlineStr">
        <is>
          <t>32.2.03</t>
        </is>
      </c>
      <c r="B175" s="13" t="inlineStr">
        <is>
          <t xml:space="preserve">      Commissioni RID / SDD</t>
        </is>
      </c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>
        <f>SUM(C175:N175)</f>
        <v/>
      </c>
    </row>
    <row r="176" hidden="1" outlineLevel="2">
      <c r="A176" s="13" t="inlineStr">
        <is>
          <t>32.2.04</t>
        </is>
      </c>
      <c r="B176" s="13" t="inlineStr">
        <is>
          <t xml:space="preserve">      Canoni POS e servizi di incasso</t>
        </is>
      </c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>
        <f>SUM(C176:N176)</f>
        <v/>
      </c>
    </row>
    <row r="177" outlineLevel="1">
      <c r="A177" s="11" t="inlineStr">
        <is>
          <t>F3</t>
        </is>
      </c>
      <c r="B177" s="11" t="inlineStr">
        <is>
          <t xml:space="preserve">   Commissioni su incassi</t>
        </is>
      </c>
      <c r="C177" s="12">
        <f>SUBTOTAL(9,C178:C182)</f>
        <v/>
      </c>
      <c r="D177" s="12">
        <f>SUBTOTAL(9,D178:D182)</f>
        <v/>
      </c>
      <c r="E177" s="12">
        <f>SUBTOTAL(9,E178:E182)</f>
        <v/>
      </c>
      <c r="F177" s="12">
        <f>SUBTOTAL(9,F178:F182)</f>
        <v/>
      </c>
      <c r="G177" s="12">
        <f>SUBTOTAL(9,G178:G182)</f>
        <v/>
      </c>
      <c r="H177" s="12">
        <f>SUBTOTAL(9,H178:H182)</f>
        <v/>
      </c>
      <c r="I177" s="12">
        <f>SUBTOTAL(9,I178:I182)</f>
        <v/>
      </c>
      <c r="J177" s="12">
        <f>SUBTOTAL(9,J178:J182)</f>
        <v/>
      </c>
      <c r="K177" s="12">
        <f>SUBTOTAL(9,K178:K182)</f>
        <v/>
      </c>
      <c r="L177" s="12">
        <f>SUBTOTAL(9,L178:L182)</f>
        <v/>
      </c>
      <c r="M177" s="12">
        <f>SUBTOTAL(9,M178:M182)</f>
        <v/>
      </c>
      <c r="N177" s="12">
        <f>SUBTOTAL(9,N178:N182)</f>
        <v/>
      </c>
      <c r="O177" s="12">
        <f>SUBTOTAL(9,O178:O182)</f>
        <v/>
      </c>
    </row>
    <row r="178" hidden="1" outlineLevel="2">
      <c r="A178" s="13" t="inlineStr">
        <is>
          <t>32.3.01</t>
        </is>
      </c>
      <c r="B178" s="13" t="inlineStr">
        <is>
          <t xml:space="preserve">      Commissioni Pagobancomat</t>
        </is>
      </c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>
        <f>SUM(C178:N178)</f>
        <v/>
      </c>
    </row>
    <row r="179" hidden="1" outlineLevel="2">
      <c r="A179" s="13" t="inlineStr">
        <is>
          <t>32.3.02</t>
        </is>
      </c>
      <c r="B179" s="13" t="inlineStr">
        <is>
          <t xml:space="preserve">      Commissioni carte internazionali</t>
        </is>
      </c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>
        <f>SUM(C179:N179)</f>
        <v/>
      </c>
    </row>
    <row r="180" hidden="1" outlineLevel="2">
      <c r="A180" s="13" t="inlineStr">
        <is>
          <t>32.3.03</t>
        </is>
      </c>
      <c r="B180" s="13" t="inlineStr">
        <is>
          <t xml:space="preserve">      Commissioni SumUp</t>
        </is>
      </c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>
        <f>SUM(C180:N180)</f>
        <v/>
      </c>
    </row>
    <row r="181" hidden="1" outlineLevel="2">
      <c r="A181" s="13" t="inlineStr">
        <is>
          <t>32.3.04</t>
        </is>
      </c>
      <c r="B181" s="13" t="inlineStr">
        <is>
          <t xml:space="preserve">      Commissioni Axerve</t>
        </is>
      </c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>
        <f>SUM(C181:N181)</f>
        <v/>
      </c>
    </row>
    <row r="182" hidden="1" outlineLevel="2">
      <c r="A182" s="13" t="inlineStr">
        <is>
          <t>32.3.05</t>
        </is>
      </c>
      <c r="B182" s="13" t="inlineStr">
        <is>
          <t xml:space="preserve">      Commissioni altri PSP e buoni pasto</t>
        </is>
      </c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>
        <f>SUM(C182:N182)</f>
        <v/>
      </c>
    </row>
    <row r="183">
      <c r="A183" s="15" t="n"/>
      <c r="B183" s="16" t="inlineStr">
        <is>
          <t>CASH FLOW OPERATIVO</t>
        </is>
      </c>
      <c r="C183" s="17">
        <f>C5+C21+C54+C83+C100+C166</f>
        <v/>
      </c>
      <c r="D183" s="17">
        <f>D5+D21+D54+D83+D100+D166</f>
        <v/>
      </c>
      <c r="E183" s="17">
        <f>E5+E21+E54+E83+E100+E166</f>
        <v/>
      </c>
      <c r="F183" s="17">
        <f>F5+F21+F54+F83+F100+F166</f>
        <v/>
      </c>
      <c r="G183" s="17">
        <f>G5+G21+G54+G83+G100+G166</f>
        <v/>
      </c>
      <c r="H183" s="17">
        <f>H5+H21+H54+H83+H100+H166</f>
        <v/>
      </c>
      <c r="I183" s="17">
        <f>I5+I21+I54+I83+I100+I166</f>
        <v/>
      </c>
      <c r="J183" s="17">
        <f>J5+J21+J54+J83+J100+J166</f>
        <v/>
      </c>
      <c r="K183" s="17">
        <f>K5+K21+K54+K83+K100+K166</f>
        <v/>
      </c>
      <c r="L183" s="17">
        <f>L5+L21+L54+L83+L100+L166</f>
        <v/>
      </c>
      <c r="M183" s="17">
        <f>M5+M21+M54+M83+M100+M166</f>
        <v/>
      </c>
      <c r="N183" s="17">
        <f>N5+N21+N54+N83+N100+N166</f>
        <v/>
      </c>
      <c r="O183" s="17">
        <f>O5+O21+O54+O83+O100+O166</f>
        <v/>
      </c>
    </row>
    <row r="185">
      <c r="A185" s="9" t="inlineStr">
        <is>
          <t>G</t>
        </is>
      </c>
      <c r="B185" s="9" t="inlineStr">
        <is>
          <t>FISCO E IVA</t>
        </is>
      </c>
      <c r="C185" s="10">
        <f>SUBTOTAL(9,C186:C194)</f>
        <v/>
      </c>
      <c r="D185" s="10">
        <f>SUBTOTAL(9,D186:D194)</f>
        <v/>
      </c>
      <c r="E185" s="10">
        <f>SUBTOTAL(9,E186:E194)</f>
        <v/>
      </c>
      <c r="F185" s="10">
        <f>SUBTOTAL(9,F186:F194)</f>
        <v/>
      </c>
      <c r="G185" s="10">
        <f>SUBTOTAL(9,G186:G194)</f>
        <v/>
      </c>
      <c r="H185" s="10">
        <f>SUBTOTAL(9,H186:H194)</f>
        <v/>
      </c>
      <c r="I185" s="10">
        <f>SUBTOTAL(9,I186:I194)</f>
        <v/>
      </c>
      <c r="J185" s="10">
        <f>SUBTOTAL(9,J186:J194)</f>
        <v/>
      </c>
      <c r="K185" s="10">
        <f>SUBTOTAL(9,K186:K194)</f>
        <v/>
      </c>
      <c r="L185" s="10">
        <f>SUBTOTAL(9,L186:L194)</f>
        <v/>
      </c>
      <c r="M185" s="10">
        <f>SUBTOTAL(9,M186:M194)</f>
        <v/>
      </c>
      <c r="N185" s="10">
        <f>SUBTOTAL(9,N186:N194)</f>
        <v/>
      </c>
      <c r="O185" s="10">
        <f>SUBTOTAL(9,O186:O194)</f>
        <v/>
      </c>
    </row>
    <row r="186" outlineLevel="1">
      <c r="A186" s="11" t="inlineStr">
        <is>
          <t>G1</t>
        </is>
      </c>
      <c r="B186" s="11" t="inlineStr">
        <is>
          <t xml:space="preserve">   IVA incassata sui corrispettivi</t>
        </is>
      </c>
      <c r="C186" s="18" t="n"/>
      <c r="D186" s="18" t="n"/>
      <c r="E186" s="18" t="n"/>
      <c r="F186" s="18" t="n"/>
      <c r="G186" s="18" t="n"/>
      <c r="H186" s="18" t="n"/>
      <c r="I186" s="18" t="n"/>
      <c r="J186" s="18" t="n"/>
      <c r="K186" s="18" t="n"/>
      <c r="L186" s="18" t="n"/>
      <c r="M186" s="18" t="n"/>
      <c r="N186" s="18" t="n"/>
      <c r="O186" s="18">
        <f>SUM(C186:N186)</f>
        <v/>
      </c>
    </row>
    <row r="187" outlineLevel="1">
      <c r="A187" s="11" t="inlineStr">
        <is>
          <t>G2</t>
        </is>
      </c>
      <c r="B187" s="11" t="inlineStr">
        <is>
          <t xml:space="preserve">   IVA pagata sugli acquisti</t>
        </is>
      </c>
      <c r="C187" s="18" t="n"/>
      <c r="D187" s="18" t="n"/>
      <c r="E187" s="18" t="n"/>
      <c r="F187" s="18" t="n"/>
      <c r="G187" s="18" t="n"/>
      <c r="H187" s="18" t="n"/>
      <c r="I187" s="18" t="n"/>
      <c r="J187" s="18" t="n"/>
      <c r="K187" s="18" t="n"/>
      <c r="L187" s="18" t="n"/>
      <c r="M187" s="18" t="n"/>
      <c r="N187" s="18" t="n"/>
      <c r="O187" s="18">
        <f>SUM(C187:N187)</f>
        <v/>
      </c>
    </row>
    <row r="188" outlineLevel="1">
      <c r="A188" s="11" t="inlineStr">
        <is>
          <t>G3</t>
        </is>
      </c>
      <c r="B188" s="11" t="inlineStr">
        <is>
          <t xml:space="preserve">   F24 IVA</t>
        </is>
      </c>
      <c r="C188" s="12">
        <f>SUBTOTAL(9,C189:C190)</f>
        <v/>
      </c>
      <c r="D188" s="12">
        <f>SUBTOTAL(9,D189:D190)</f>
        <v/>
      </c>
      <c r="E188" s="12">
        <f>SUBTOTAL(9,E189:E190)</f>
        <v/>
      </c>
      <c r="F188" s="12">
        <f>SUBTOTAL(9,F189:F190)</f>
        <v/>
      </c>
      <c r="G188" s="12">
        <f>SUBTOTAL(9,G189:G190)</f>
        <v/>
      </c>
      <c r="H188" s="12">
        <f>SUBTOTAL(9,H189:H190)</f>
        <v/>
      </c>
      <c r="I188" s="12">
        <f>SUBTOTAL(9,I189:I190)</f>
        <v/>
      </c>
      <c r="J188" s="12">
        <f>SUBTOTAL(9,J189:J190)</f>
        <v/>
      </c>
      <c r="K188" s="12">
        <f>SUBTOTAL(9,K189:K190)</f>
        <v/>
      </c>
      <c r="L188" s="12">
        <f>SUBTOTAL(9,L189:L190)</f>
        <v/>
      </c>
      <c r="M188" s="12">
        <f>SUBTOTAL(9,M189:M190)</f>
        <v/>
      </c>
      <c r="N188" s="12">
        <f>SUBTOTAL(9,N189:N190)</f>
        <v/>
      </c>
      <c r="O188" s="12">
        <f>SUBTOTAL(9,O189:O190)</f>
        <v/>
      </c>
    </row>
    <row r="189" hidden="1" outlineLevel="2">
      <c r="A189" s="13" t="inlineStr">
        <is>
          <t>40.3.01</t>
        </is>
      </c>
      <c r="B189" s="13" t="inlineStr">
        <is>
          <t xml:space="preserve">      F24 IVA versata</t>
        </is>
      </c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>
        <f>SUM(C189:N189)</f>
        <v/>
      </c>
    </row>
    <row r="190" hidden="1" outlineLevel="2">
      <c r="A190" s="13" t="inlineStr">
        <is>
          <t>40.3.04</t>
        </is>
      </c>
      <c r="B190" s="13" t="inlineStr">
        <is>
          <t xml:space="preserve">      Rimborsi e crediti compensati</t>
        </is>
      </c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>
        <f>SUM(C190:N190)</f>
        <v/>
      </c>
    </row>
    <row r="191" outlineLevel="1">
      <c r="A191" s="11" t="inlineStr">
        <is>
          <t>G4</t>
        </is>
      </c>
      <c r="B191" s="11" t="inlineStr">
        <is>
          <t xml:space="preserve">   Imposte sul reddito</t>
        </is>
      </c>
      <c r="C191" s="12">
        <f>SUBTOTAL(9,C192:C192)</f>
        <v/>
      </c>
      <c r="D191" s="12">
        <f>SUBTOTAL(9,D192:D192)</f>
        <v/>
      </c>
      <c r="E191" s="12">
        <f>SUBTOTAL(9,E192:E192)</f>
        <v/>
      </c>
      <c r="F191" s="12">
        <f>SUBTOTAL(9,F192:F192)</f>
        <v/>
      </c>
      <c r="G191" s="12">
        <f>SUBTOTAL(9,G192:G192)</f>
        <v/>
      </c>
      <c r="H191" s="12">
        <f>SUBTOTAL(9,H192:H192)</f>
        <v/>
      </c>
      <c r="I191" s="12">
        <f>SUBTOTAL(9,I192:I192)</f>
        <v/>
      </c>
      <c r="J191" s="12">
        <f>SUBTOTAL(9,J192:J192)</f>
        <v/>
      </c>
      <c r="K191" s="12">
        <f>SUBTOTAL(9,K192:K192)</f>
        <v/>
      </c>
      <c r="L191" s="12">
        <f>SUBTOTAL(9,L192:L192)</f>
        <v/>
      </c>
      <c r="M191" s="12">
        <f>SUBTOTAL(9,M192:M192)</f>
        <v/>
      </c>
      <c r="N191" s="12">
        <f>SUBTOTAL(9,N192:N192)</f>
        <v/>
      </c>
      <c r="O191" s="12">
        <f>SUBTOTAL(9,O192:O192)</f>
        <v/>
      </c>
    </row>
    <row r="192" hidden="1" outlineLevel="2">
      <c r="A192" s="13" t="inlineStr">
        <is>
          <t>40.3.02</t>
        </is>
      </c>
      <c r="B192" s="13" t="inlineStr">
        <is>
          <t xml:space="preserve">      F24 imposte sul reddito</t>
        </is>
      </c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>
        <f>SUM(C192:N192)</f>
        <v/>
      </c>
    </row>
    <row r="193" outlineLevel="1">
      <c r="A193" s="11" t="inlineStr">
        <is>
          <t>G5</t>
        </is>
      </c>
      <c r="B193" s="11" t="inlineStr">
        <is>
          <t xml:space="preserve">   Ritenute e contributi</t>
        </is>
      </c>
      <c r="C193" s="12">
        <f>SUBTOTAL(9,C194:C194)</f>
        <v/>
      </c>
      <c r="D193" s="12">
        <f>SUBTOTAL(9,D194:D194)</f>
        <v/>
      </c>
      <c r="E193" s="12">
        <f>SUBTOTAL(9,E194:E194)</f>
        <v/>
      </c>
      <c r="F193" s="12">
        <f>SUBTOTAL(9,F194:F194)</f>
        <v/>
      </c>
      <c r="G193" s="12">
        <f>SUBTOTAL(9,G194:G194)</f>
        <v/>
      </c>
      <c r="H193" s="12">
        <f>SUBTOTAL(9,H194:H194)</f>
        <v/>
      </c>
      <c r="I193" s="12">
        <f>SUBTOTAL(9,I194:I194)</f>
        <v/>
      </c>
      <c r="J193" s="12">
        <f>SUBTOTAL(9,J194:J194)</f>
        <v/>
      </c>
      <c r="K193" s="12">
        <f>SUBTOTAL(9,K194:K194)</f>
        <v/>
      </c>
      <c r="L193" s="12">
        <f>SUBTOTAL(9,L194:L194)</f>
        <v/>
      </c>
      <c r="M193" s="12">
        <f>SUBTOTAL(9,M194:M194)</f>
        <v/>
      </c>
      <c r="N193" s="12">
        <f>SUBTOTAL(9,N194:N194)</f>
        <v/>
      </c>
      <c r="O193" s="12">
        <f>SUBTOTAL(9,O194:O194)</f>
        <v/>
      </c>
    </row>
    <row r="194" hidden="1" outlineLevel="2">
      <c r="A194" s="13" t="inlineStr">
        <is>
          <t>40.3.03</t>
        </is>
      </c>
      <c r="B194" s="13" t="inlineStr">
        <is>
          <t xml:space="preserve">      F24 ritenute e contributi</t>
        </is>
      </c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>
        <f>SUM(C194:N194)</f>
        <v/>
      </c>
    </row>
    <row r="196">
      <c r="A196" s="9" t="inlineStr">
        <is>
          <t>H</t>
        </is>
      </c>
      <c r="B196" s="9" t="inlineStr">
        <is>
          <t>INVESTIMENTI</t>
        </is>
      </c>
      <c r="C196" s="10">
        <f>SUBTOTAL(9,C197:C202)</f>
        <v/>
      </c>
      <c r="D196" s="10">
        <f>SUBTOTAL(9,D197:D202)</f>
        <v/>
      </c>
      <c r="E196" s="10">
        <f>SUBTOTAL(9,E197:E202)</f>
        <v/>
      </c>
      <c r="F196" s="10">
        <f>SUBTOTAL(9,F197:F202)</f>
        <v/>
      </c>
      <c r="G196" s="10">
        <f>SUBTOTAL(9,G197:G202)</f>
        <v/>
      </c>
      <c r="H196" s="10">
        <f>SUBTOTAL(9,H197:H202)</f>
        <v/>
      </c>
      <c r="I196" s="10">
        <f>SUBTOTAL(9,I197:I202)</f>
        <v/>
      </c>
      <c r="J196" s="10">
        <f>SUBTOTAL(9,J197:J202)</f>
        <v/>
      </c>
      <c r="K196" s="10">
        <f>SUBTOTAL(9,K197:K202)</f>
        <v/>
      </c>
      <c r="L196" s="10">
        <f>SUBTOTAL(9,L197:L202)</f>
        <v/>
      </c>
      <c r="M196" s="10">
        <f>SUBTOTAL(9,M197:M202)</f>
        <v/>
      </c>
      <c r="N196" s="10">
        <f>SUBTOTAL(9,N197:N202)</f>
        <v/>
      </c>
      <c r="O196" s="10">
        <f>SUBTOTAL(9,O197:O202)</f>
        <v/>
      </c>
    </row>
    <row r="197" outlineLevel="1">
      <c r="A197" s="11" t="inlineStr">
        <is>
          <t>H1</t>
        </is>
      </c>
      <c r="B197" s="11" t="inlineStr">
        <is>
          <t xml:space="preserve">   Acquisto immobilizzazioni</t>
        </is>
      </c>
      <c r="C197" s="12">
        <f>SUBTOTAL(9,C198:C200)</f>
        <v/>
      </c>
      <c r="D197" s="12">
        <f>SUBTOTAL(9,D198:D200)</f>
        <v/>
      </c>
      <c r="E197" s="12">
        <f>SUBTOTAL(9,E198:E200)</f>
        <v/>
      </c>
      <c r="F197" s="12">
        <f>SUBTOTAL(9,F198:F200)</f>
        <v/>
      </c>
      <c r="G197" s="12">
        <f>SUBTOTAL(9,G198:G200)</f>
        <v/>
      </c>
      <c r="H197" s="12">
        <f>SUBTOTAL(9,H198:H200)</f>
        <v/>
      </c>
      <c r="I197" s="12">
        <f>SUBTOTAL(9,I198:I200)</f>
        <v/>
      </c>
      <c r="J197" s="12">
        <f>SUBTOTAL(9,J198:J200)</f>
        <v/>
      </c>
      <c r="K197" s="12">
        <f>SUBTOTAL(9,K198:K200)</f>
        <v/>
      </c>
      <c r="L197" s="12">
        <f>SUBTOTAL(9,L198:L200)</f>
        <v/>
      </c>
      <c r="M197" s="12">
        <f>SUBTOTAL(9,M198:M200)</f>
        <v/>
      </c>
      <c r="N197" s="12">
        <f>SUBTOTAL(9,N198:N200)</f>
        <v/>
      </c>
      <c r="O197" s="12">
        <f>SUBTOTAL(9,O198:O200)</f>
        <v/>
      </c>
    </row>
    <row r="198" hidden="1" outlineLevel="2">
      <c r="A198" s="13" t="inlineStr">
        <is>
          <t>40.1.01</t>
        </is>
      </c>
      <c r="B198" s="13" t="inlineStr">
        <is>
          <t xml:space="preserve">      Acquisto immobilizzazioni materiali</t>
        </is>
      </c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>
        <f>SUM(C198:N198)</f>
        <v/>
      </c>
    </row>
    <row r="199" hidden="1" outlineLevel="2">
      <c r="A199" s="13" t="inlineStr">
        <is>
          <t>40.1.02</t>
        </is>
      </c>
      <c r="B199" s="13" t="inlineStr">
        <is>
          <t xml:space="preserve">      Acquisto immobilizzazioni immateriali</t>
        </is>
      </c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>
        <f>SUM(C199:N199)</f>
        <v/>
      </c>
    </row>
    <row r="200" hidden="1" outlineLevel="2">
      <c r="A200" s="13" t="inlineStr">
        <is>
          <t>40.1.03</t>
        </is>
      </c>
      <c r="B200" s="13" t="inlineStr">
        <is>
          <t xml:space="preserve">      Migliorie su beni di terzi</t>
        </is>
      </c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>
        <f>SUM(C200:N200)</f>
        <v/>
      </c>
    </row>
    <row r="201" outlineLevel="1">
      <c r="A201" s="11" t="inlineStr">
        <is>
          <t>H2</t>
        </is>
      </c>
      <c r="B201" s="11" t="inlineStr">
        <is>
          <t xml:space="preserve">   Cessione cespiti</t>
        </is>
      </c>
      <c r="C201" s="12">
        <f>SUBTOTAL(9,C202:C202)</f>
        <v/>
      </c>
      <c r="D201" s="12">
        <f>SUBTOTAL(9,D202:D202)</f>
        <v/>
      </c>
      <c r="E201" s="12">
        <f>SUBTOTAL(9,E202:E202)</f>
        <v/>
      </c>
      <c r="F201" s="12">
        <f>SUBTOTAL(9,F202:F202)</f>
        <v/>
      </c>
      <c r="G201" s="12">
        <f>SUBTOTAL(9,G202:G202)</f>
        <v/>
      </c>
      <c r="H201" s="12">
        <f>SUBTOTAL(9,H202:H202)</f>
        <v/>
      </c>
      <c r="I201" s="12">
        <f>SUBTOTAL(9,I202:I202)</f>
        <v/>
      </c>
      <c r="J201" s="12">
        <f>SUBTOTAL(9,J202:J202)</f>
        <v/>
      </c>
      <c r="K201" s="12">
        <f>SUBTOTAL(9,K202:K202)</f>
        <v/>
      </c>
      <c r="L201" s="12">
        <f>SUBTOTAL(9,L202:L202)</f>
        <v/>
      </c>
      <c r="M201" s="12">
        <f>SUBTOTAL(9,M202:M202)</f>
        <v/>
      </c>
      <c r="N201" s="12">
        <f>SUBTOTAL(9,N202:N202)</f>
        <v/>
      </c>
      <c r="O201" s="12">
        <f>SUBTOTAL(9,O202:O202)</f>
        <v/>
      </c>
    </row>
    <row r="202" hidden="1" outlineLevel="2">
      <c r="A202" s="13" t="inlineStr">
        <is>
          <t>40.1.04</t>
        </is>
      </c>
      <c r="B202" s="13" t="inlineStr">
        <is>
          <t xml:space="preserve">      Cessione cespiti</t>
        </is>
      </c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>
        <f>SUM(C202:N202)</f>
        <v/>
      </c>
    </row>
    <row r="204">
      <c r="A204" s="9" t="inlineStr">
        <is>
          <t>I</t>
        </is>
      </c>
      <c r="B204" s="9" t="inlineStr">
        <is>
          <t>FINANZIAMENTI</t>
        </is>
      </c>
      <c r="C204" s="10">
        <f>SUBTOTAL(9,C205:C211)</f>
        <v/>
      </c>
      <c r="D204" s="10">
        <f>SUBTOTAL(9,D205:D211)</f>
        <v/>
      </c>
      <c r="E204" s="10">
        <f>SUBTOTAL(9,E205:E211)</f>
        <v/>
      </c>
      <c r="F204" s="10">
        <f>SUBTOTAL(9,F205:F211)</f>
        <v/>
      </c>
      <c r="G204" s="10">
        <f>SUBTOTAL(9,G205:G211)</f>
        <v/>
      </c>
      <c r="H204" s="10">
        <f>SUBTOTAL(9,H205:H211)</f>
        <v/>
      </c>
      <c r="I204" s="10">
        <f>SUBTOTAL(9,I205:I211)</f>
        <v/>
      </c>
      <c r="J204" s="10">
        <f>SUBTOTAL(9,J205:J211)</f>
        <v/>
      </c>
      <c r="K204" s="10">
        <f>SUBTOTAL(9,K205:K211)</f>
        <v/>
      </c>
      <c r="L204" s="10">
        <f>SUBTOTAL(9,L205:L211)</f>
        <v/>
      </c>
      <c r="M204" s="10">
        <f>SUBTOTAL(9,M205:M211)</f>
        <v/>
      </c>
      <c r="N204" s="10">
        <f>SUBTOTAL(9,N205:N211)</f>
        <v/>
      </c>
      <c r="O204" s="10">
        <f>SUBTOTAL(9,O205:O211)</f>
        <v/>
      </c>
    </row>
    <row r="205" outlineLevel="1">
      <c r="A205" s="11" t="inlineStr">
        <is>
          <t>I1</t>
        </is>
      </c>
      <c r="B205" s="11" t="inlineStr">
        <is>
          <t xml:space="preserve">   Rimborso capitale</t>
        </is>
      </c>
      <c r="C205" s="12">
        <f>SUBTOTAL(9,C206:C206)</f>
        <v/>
      </c>
      <c r="D205" s="12">
        <f>SUBTOTAL(9,D206:D206)</f>
        <v/>
      </c>
      <c r="E205" s="12">
        <f>SUBTOTAL(9,E206:E206)</f>
        <v/>
      </c>
      <c r="F205" s="12">
        <f>SUBTOTAL(9,F206:F206)</f>
        <v/>
      </c>
      <c r="G205" s="12">
        <f>SUBTOTAL(9,G206:G206)</f>
        <v/>
      </c>
      <c r="H205" s="12">
        <f>SUBTOTAL(9,H206:H206)</f>
        <v/>
      </c>
      <c r="I205" s="12">
        <f>SUBTOTAL(9,I206:I206)</f>
        <v/>
      </c>
      <c r="J205" s="12">
        <f>SUBTOTAL(9,J206:J206)</f>
        <v/>
      </c>
      <c r="K205" s="12">
        <f>SUBTOTAL(9,K206:K206)</f>
        <v/>
      </c>
      <c r="L205" s="12">
        <f>SUBTOTAL(9,L206:L206)</f>
        <v/>
      </c>
      <c r="M205" s="12">
        <f>SUBTOTAL(9,M206:M206)</f>
        <v/>
      </c>
      <c r="N205" s="12">
        <f>SUBTOTAL(9,N206:N206)</f>
        <v/>
      </c>
      <c r="O205" s="12">
        <f>SUBTOTAL(9,O206:O206)</f>
        <v/>
      </c>
    </row>
    <row r="206" hidden="1" outlineLevel="2">
      <c r="A206" s="13" t="inlineStr">
        <is>
          <t>40.2.01</t>
        </is>
      </c>
      <c r="B206" s="13" t="inlineStr">
        <is>
          <t xml:space="preserve">      Rimborso capitale mutui</t>
        </is>
      </c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>
        <f>SUM(C206:N206)</f>
        <v/>
      </c>
    </row>
    <row r="207" outlineLevel="1">
      <c r="A207" s="11" t="inlineStr">
        <is>
          <t>I2</t>
        </is>
      </c>
      <c r="B207" s="11" t="inlineStr">
        <is>
          <t xml:space="preserve">   Nuova finanza</t>
        </is>
      </c>
      <c r="C207" s="12">
        <f>SUBTOTAL(9,C208:C208)</f>
        <v/>
      </c>
      <c r="D207" s="12">
        <f>SUBTOTAL(9,D208:D208)</f>
        <v/>
      </c>
      <c r="E207" s="12">
        <f>SUBTOTAL(9,E208:E208)</f>
        <v/>
      </c>
      <c r="F207" s="12">
        <f>SUBTOTAL(9,F208:F208)</f>
        <v/>
      </c>
      <c r="G207" s="12">
        <f>SUBTOTAL(9,G208:G208)</f>
        <v/>
      </c>
      <c r="H207" s="12">
        <f>SUBTOTAL(9,H208:H208)</f>
        <v/>
      </c>
      <c r="I207" s="12">
        <f>SUBTOTAL(9,I208:I208)</f>
        <v/>
      </c>
      <c r="J207" s="12">
        <f>SUBTOTAL(9,J208:J208)</f>
        <v/>
      </c>
      <c r="K207" s="12">
        <f>SUBTOTAL(9,K208:K208)</f>
        <v/>
      </c>
      <c r="L207" s="12">
        <f>SUBTOTAL(9,L208:L208)</f>
        <v/>
      </c>
      <c r="M207" s="12">
        <f>SUBTOTAL(9,M208:M208)</f>
        <v/>
      </c>
      <c r="N207" s="12">
        <f>SUBTOTAL(9,N208:N208)</f>
        <v/>
      </c>
      <c r="O207" s="12">
        <f>SUBTOTAL(9,O208:O208)</f>
        <v/>
      </c>
    </row>
    <row r="208" hidden="1" outlineLevel="2">
      <c r="A208" s="13" t="inlineStr">
        <is>
          <t>40.2.02</t>
        </is>
      </c>
      <c r="B208" s="13" t="inlineStr">
        <is>
          <t xml:space="preserve">      Erogazione nuovi finanziamenti</t>
        </is>
      </c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>
        <f>SUM(C208:N208)</f>
        <v/>
      </c>
    </row>
    <row r="209" outlineLevel="1">
      <c r="A209" s="11" t="inlineStr">
        <is>
          <t>I3</t>
        </is>
      </c>
      <c r="B209" s="11" t="inlineStr">
        <is>
          <t xml:space="preserve">   Soci</t>
        </is>
      </c>
      <c r="C209" s="12">
        <f>SUBTOTAL(9,C210:C211)</f>
        <v/>
      </c>
      <c r="D209" s="12">
        <f>SUBTOTAL(9,D210:D211)</f>
        <v/>
      </c>
      <c r="E209" s="12">
        <f>SUBTOTAL(9,E210:E211)</f>
        <v/>
      </c>
      <c r="F209" s="12">
        <f>SUBTOTAL(9,F210:F211)</f>
        <v/>
      </c>
      <c r="G209" s="12">
        <f>SUBTOTAL(9,G210:G211)</f>
        <v/>
      </c>
      <c r="H209" s="12">
        <f>SUBTOTAL(9,H210:H211)</f>
        <v/>
      </c>
      <c r="I209" s="12">
        <f>SUBTOTAL(9,I210:I211)</f>
        <v/>
      </c>
      <c r="J209" s="12">
        <f>SUBTOTAL(9,J210:J211)</f>
        <v/>
      </c>
      <c r="K209" s="12">
        <f>SUBTOTAL(9,K210:K211)</f>
        <v/>
      </c>
      <c r="L209" s="12">
        <f>SUBTOTAL(9,L210:L211)</f>
        <v/>
      </c>
      <c r="M209" s="12">
        <f>SUBTOTAL(9,M210:M211)</f>
        <v/>
      </c>
      <c r="N209" s="12">
        <f>SUBTOTAL(9,N210:N211)</f>
        <v/>
      </c>
      <c r="O209" s="12">
        <f>SUBTOTAL(9,O210:O211)</f>
        <v/>
      </c>
    </row>
    <row r="210" hidden="1" outlineLevel="2">
      <c r="A210" s="13" t="inlineStr">
        <is>
          <t>40.2.03</t>
        </is>
      </c>
      <c r="B210" s="13" t="inlineStr">
        <is>
          <t xml:space="preserve">      Rimborso finanziamento soci</t>
        </is>
      </c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>
        <f>SUM(C210:N210)</f>
        <v/>
      </c>
    </row>
    <row r="211" hidden="1" outlineLevel="2">
      <c r="A211" s="13" t="inlineStr">
        <is>
          <t>40.2.04</t>
        </is>
      </c>
      <c r="B211" s="13" t="inlineStr">
        <is>
          <t xml:space="preserve">      Versamento finanziamento soci</t>
        </is>
      </c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>
        <f>SUM(C211:N211)</f>
        <v/>
      </c>
    </row>
    <row r="213">
      <c r="A213" s="15" t="n"/>
      <c r="B213" s="16" t="inlineStr">
        <is>
          <t>VARIAZIONE DI CASSA</t>
        </is>
      </c>
      <c r="C213" s="17">
        <f>C183+C185+C196+C204</f>
        <v/>
      </c>
      <c r="D213" s="17">
        <f>D183+D185+D196+D204</f>
        <v/>
      </c>
      <c r="E213" s="17">
        <f>E183+E185+E196+E204</f>
        <v/>
      </c>
      <c r="F213" s="17">
        <f>F183+F185+F196+F204</f>
        <v/>
      </c>
      <c r="G213" s="17">
        <f>G183+G185+G196+G204</f>
        <v/>
      </c>
      <c r="H213" s="17">
        <f>H183+H185+H196+H204</f>
        <v/>
      </c>
      <c r="I213" s="17">
        <f>I183+I185+I196+I204</f>
        <v/>
      </c>
      <c r="J213" s="17">
        <f>J183+J185+J196+J204</f>
        <v/>
      </c>
      <c r="K213" s="17">
        <f>K183+K185+K196+K204</f>
        <v/>
      </c>
      <c r="L213" s="17">
        <f>L183+L185+L196+L204</f>
        <v/>
      </c>
      <c r="M213" s="17">
        <f>M183+M185+M196+M204</f>
        <v/>
      </c>
      <c r="N213" s="17">
        <f>N183+N185+N196+N204</f>
        <v/>
      </c>
      <c r="O213" s="17">
        <f>O183+O185+O196+O204</f>
        <v/>
      </c>
    </row>
    <row r="214">
      <c r="B214" s="11" t="inlineStr">
        <is>
          <t>Cassa e banca a inizio mese</t>
        </is>
      </c>
      <c r="C214" s="18" t="n"/>
      <c r="D214" s="12">
        <f>C215</f>
        <v/>
      </c>
      <c r="E214" s="12">
        <f>D215</f>
        <v/>
      </c>
      <c r="F214" s="12">
        <f>E215</f>
        <v/>
      </c>
      <c r="G214" s="12">
        <f>F215</f>
        <v/>
      </c>
      <c r="H214" s="12">
        <f>G215</f>
        <v/>
      </c>
      <c r="I214" s="12">
        <f>H215</f>
        <v/>
      </c>
      <c r="J214" s="12">
        <f>I215</f>
        <v/>
      </c>
      <c r="K214" s="12">
        <f>J215</f>
        <v/>
      </c>
      <c r="L214" s="12">
        <f>K215</f>
        <v/>
      </c>
      <c r="M214" s="12">
        <f>L215</f>
        <v/>
      </c>
      <c r="N214" s="12">
        <f>M215</f>
        <v/>
      </c>
      <c r="O214" s="12">
        <f>C214</f>
        <v/>
      </c>
    </row>
    <row r="215">
      <c r="A215" s="15" t="n"/>
      <c r="B215" s="16" t="inlineStr">
        <is>
          <t>CASSA E BANCA A FINE MESE</t>
        </is>
      </c>
      <c r="C215" s="17">
        <f>C214+C213</f>
        <v/>
      </c>
      <c r="D215" s="17">
        <f>D214+D213</f>
        <v/>
      </c>
      <c r="E215" s="17">
        <f>E214+E213</f>
        <v/>
      </c>
      <c r="F215" s="17">
        <f>F214+F213</f>
        <v/>
      </c>
      <c r="G215" s="17">
        <f>G214+G213</f>
        <v/>
      </c>
      <c r="H215" s="17">
        <f>H214+H213</f>
        <v/>
      </c>
      <c r="I215" s="17">
        <f>I214+I213</f>
        <v/>
      </c>
      <c r="J215" s="17">
        <f>J214+J213</f>
        <v/>
      </c>
      <c r="K215" s="17">
        <f>K214+K213</f>
        <v/>
      </c>
      <c r="L215" s="17">
        <f>L214+L213</f>
        <v/>
      </c>
      <c r="M215" s="17">
        <f>M214+M213</f>
        <v/>
      </c>
      <c r="N215" s="17">
        <f>N214+N213</f>
        <v/>
      </c>
      <c r="O215" s="17">
        <f>N215</f>
        <v/>
      </c>
    </row>
    <row r="218">
      <c r="B218" s="19" t="inlineStr">
        <is>
          <t>RIGHE MEMO — fuori da ogni totale</t>
        </is>
      </c>
    </row>
    <row r="219">
      <c r="A219" s="2" t="inlineStr">
        <is>
          <t>memo</t>
        </is>
      </c>
      <c r="B219" s="2" t="inlineStr">
        <is>
          <t xml:space="preserve">   Totale manodopera — 28 · 29 · 26.03 · 26.05 · 26.06 · 40.3.03</t>
        </is>
      </c>
      <c r="C219" s="20">
        <f>C54+C87+C193</f>
        <v/>
      </c>
      <c r="D219" s="20">
        <f>D54+D87+D193</f>
        <v/>
      </c>
      <c r="E219" s="20">
        <f>E54+E87+E193</f>
        <v/>
      </c>
      <c r="F219" s="20">
        <f>F54+F87+F193</f>
        <v/>
      </c>
      <c r="G219" s="20">
        <f>G54+G87+G193</f>
        <v/>
      </c>
      <c r="H219" s="20">
        <f>H54+H87+H193</f>
        <v/>
      </c>
      <c r="I219" s="20">
        <f>I54+I87+I193</f>
        <v/>
      </c>
      <c r="J219" s="20">
        <f>J54+J87+J193</f>
        <v/>
      </c>
      <c r="K219" s="20">
        <f>K54+K87+K193</f>
        <v/>
      </c>
      <c r="L219" s="20">
        <f>L54+L87+L193</f>
        <v/>
      </c>
      <c r="M219" s="20">
        <f>M54+M87+M193</f>
        <v/>
      </c>
      <c r="N219" s="20">
        <f>N54+N87+N193</f>
        <v/>
      </c>
      <c r="O219" s="20">
        <f>O54+O87+O193</f>
        <v/>
      </c>
    </row>
    <row r="220">
      <c r="A220" s="2" t="inlineStr">
        <is>
          <t>memo</t>
        </is>
      </c>
      <c r="B220" s="2" t="inlineStr">
        <is>
          <t xml:space="preserve">   Margine eventi — ricavi eventi meno costi diretti eventi</t>
        </is>
      </c>
      <c r="C220" s="20">
        <f>C9+C83</f>
        <v/>
      </c>
      <c r="D220" s="20">
        <f>D9+D83</f>
        <v/>
      </c>
      <c r="E220" s="20">
        <f>E9+E83</f>
        <v/>
      </c>
      <c r="F220" s="20">
        <f>F9+F83</f>
        <v/>
      </c>
      <c r="G220" s="20">
        <f>G9+G83</f>
        <v/>
      </c>
      <c r="H220" s="20">
        <f>H9+H83</f>
        <v/>
      </c>
      <c r="I220" s="20">
        <f>I9+I83</f>
        <v/>
      </c>
      <c r="J220" s="20">
        <f>J9+J83</f>
        <v/>
      </c>
      <c r="K220" s="20">
        <f>K9+K83</f>
        <v/>
      </c>
      <c r="L220" s="20">
        <f>L9+L83</f>
        <v/>
      </c>
      <c r="M220" s="20">
        <f>M9+M83</f>
        <v/>
      </c>
      <c r="N220" s="20">
        <f>N9+N83</f>
        <v/>
      </c>
      <c r="O220" s="20">
        <f>O9+O83</f>
        <v/>
      </c>
    </row>
    <row r="221">
      <c r="A221" s="2" t="inlineStr">
        <is>
          <t>memo</t>
        </is>
      </c>
      <c r="B221" s="2" t="inlineStr">
        <is>
          <t xml:space="preserve">   Tesoreria interna — 40.4 versamenti e giroconti: devono elidersi</t>
        </is>
      </c>
      <c r="C221" s="21" t="n"/>
      <c r="D221" s="21" t="n"/>
      <c r="E221" s="21" t="n"/>
      <c r="F221" s="21" t="n"/>
      <c r="G221" s="21" t="n"/>
      <c r="H221" s="21" t="n"/>
      <c r="I221" s="21" t="n"/>
      <c r="J221" s="21" t="n"/>
      <c r="K221" s="21" t="n"/>
      <c r="L221" s="21" t="n"/>
      <c r="M221" s="21" t="n"/>
      <c r="N221" s="21" t="n"/>
      <c r="O221" s="21">
        <f>SUM(C221:N221)</f>
        <v/>
      </c>
    </row>
    <row r="224">
      <c r="B224" s="19" t="inlineStr">
        <is>
          <t>CONTROLLI DI QUADRATURA</t>
        </is>
      </c>
    </row>
    <row r="225">
      <c r="A225" s="2" t="inlineStr">
        <is>
          <t>C1</t>
        </is>
      </c>
      <c r="B225" s="2" t="inlineStr">
        <is>
          <t xml:space="preserve">   Variazione del prospetto meno variazione reale dei saldi</t>
        </is>
      </c>
      <c r="C225" s="21" t="n"/>
      <c r="D225" s="21" t="n"/>
      <c r="E225" s="21" t="n"/>
      <c r="F225" s="21" t="n"/>
      <c r="G225" s="21" t="n"/>
      <c r="H225" s="21" t="n"/>
      <c r="I225" s="21" t="n"/>
      <c r="J225" s="21" t="n"/>
      <c r="K225" s="21" t="n"/>
      <c r="L225" s="21" t="n"/>
      <c r="M225" s="21" t="n"/>
      <c r="N225" s="21" t="n"/>
      <c r="O225" s="21">
        <f>SUM(C225:N225)</f>
        <v/>
      </c>
      <c r="P225" s="2" t="inlineStr">
        <is>
          <t>deve essere zero: se non lo e', ci sono voci non mappate</t>
        </is>
      </c>
    </row>
    <row r="226">
      <c r="A226" s="2" t="inlineStr">
        <is>
          <t>C2</t>
        </is>
      </c>
      <c r="B226" s="2" t="inlineStr">
        <is>
          <t xml:space="preserve">   Versamenti contanti: gamba banca piu' gamba cassa</t>
        </is>
      </c>
      <c r="C226" s="21" t="n"/>
      <c r="D226" s="21" t="n"/>
      <c r="E226" s="21" t="n"/>
      <c r="F226" s="21" t="n"/>
      <c r="G226" s="21" t="n"/>
      <c r="H226" s="21" t="n"/>
      <c r="I226" s="21" t="n"/>
      <c r="J226" s="21" t="n"/>
      <c r="K226" s="21" t="n"/>
      <c r="L226" s="21" t="n"/>
      <c r="M226" s="21" t="n"/>
      <c r="N226" s="21" t="n"/>
      <c r="O226" s="21">
        <f>SUM(C226:N226)</f>
        <v/>
      </c>
      <c r="P226" s="2" t="inlineStr">
        <is>
          <t>deve essere zero: le due gambe si elidono</t>
        </is>
      </c>
    </row>
    <row r="227">
      <c r="A227" s="2" t="inlineStr">
        <is>
          <t>C3</t>
        </is>
      </c>
      <c r="B227" s="2" t="inlineStr">
        <is>
          <t xml:space="preserve">   Movimenti senza voce di conto (numero)</t>
        </is>
      </c>
      <c r="C227" s="21" t="n"/>
      <c r="D227" s="21" t="n"/>
      <c r="E227" s="21" t="n"/>
      <c r="F227" s="21" t="n"/>
      <c r="G227" s="21" t="n"/>
      <c r="H227" s="21" t="n"/>
      <c r="I227" s="21" t="n"/>
      <c r="J227" s="21" t="n"/>
      <c r="K227" s="21" t="n"/>
      <c r="L227" s="21" t="n"/>
      <c r="M227" s="21" t="n"/>
      <c r="N227" s="21" t="n"/>
      <c r="O227" s="21">
        <f>SUM(C227:N227)</f>
        <v/>
      </c>
      <c r="P227" s="2" t="inlineStr">
        <is>
          <t>deve essere zero: righe non categorizzate spariscono dal prospetto</t>
        </is>
      </c>
    </row>
    <row r="228">
      <c r="A228" s="2" t="inlineStr">
        <is>
          <t>C4</t>
        </is>
      </c>
      <c r="B228" s="2" t="inlineStr">
        <is>
          <t xml:space="preserve">   Movimenti su conti fuori piano o inattivi (numero)</t>
        </is>
      </c>
      <c r="C228" s="21" t="n"/>
      <c r="D228" s="21" t="n"/>
      <c r="E228" s="21" t="n"/>
      <c r="F228" s="21" t="n"/>
      <c r="G228" s="21" t="n"/>
      <c r="H228" s="21" t="n"/>
      <c r="I228" s="21" t="n"/>
      <c r="J228" s="21" t="n"/>
      <c r="K228" s="21" t="n"/>
      <c r="L228" s="21" t="n"/>
      <c r="M228" s="21" t="n"/>
      <c r="N228" s="21" t="n"/>
      <c r="O228" s="21">
        <f>SUM(C228:N228)</f>
        <v/>
      </c>
      <c r="P228" s="2" t="inlineStr">
        <is>
          <t>deve essere zero: etichette duplicate o conti 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P2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BUDGET — obiettivo</t>
        </is>
      </c>
    </row>
    <row r="2">
      <c r="A2" s="2" t="inlineStr">
        <is>
          <t>Stessa struttura del consuntivo, riga per riga. Compila le voci di dettaglio: sottogruppi, famiglie e margini si calcolano da soli.</t>
        </is>
      </c>
    </row>
    <row r="4" ht="22" customHeight="1">
      <c r="A4" s="3" t="inlineStr">
        <is>
          <t>Codice</t>
        </is>
      </c>
      <c r="B4" s="3" t="inlineStr">
        <is>
          <t>Voce</t>
        </is>
      </c>
      <c r="C4" s="8" t="inlineStr">
        <is>
          <t>GEN</t>
        </is>
      </c>
      <c r="D4" s="8" t="inlineStr">
        <is>
          <t>FEB</t>
        </is>
      </c>
      <c r="E4" s="8" t="inlineStr">
        <is>
          <t>MAR</t>
        </is>
      </c>
      <c r="F4" s="8" t="inlineStr">
        <is>
          <t>APR</t>
        </is>
      </c>
      <c r="G4" s="8" t="inlineStr">
        <is>
          <t>MAG</t>
        </is>
      </c>
      <c r="H4" s="8" t="inlineStr">
        <is>
          <t>GIU</t>
        </is>
      </c>
      <c r="I4" s="8" t="inlineStr">
        <is>
          <t>LUG</t>
        </is>
      </c>
      <c r="J4" s="8" t="inlineStr">
        <is>
          <t>AGO</t>
        </is>
      </c>
      <c r="K4" s="8" t="inlineStr">
        <is>
          <t>SET</t>
        </is>
      </c>
      <c r="L4" s="8" t="inlineStr">
        <is>
          <t>OTT</t>
        </is>
      </c>
      <c r="M4" s="8" t="inlineStr">
        <is>
          <t>NOV</t>
        </is>
      </c>
      <c r="N4" s="8" t="inlineStr">
        <is>
          <t>DIC</t>
        </is>
      </c>
      <c r="O4" s="8" t="inlineStr">
        <is>
          <t>TOTALE</t>
        </is>
      </c>
    </row>
    <row r="5">
      <c r="A5" s="9" t="inlineStr">
        <is>
          <t>A</t>
        </is>
      </c>
      <c r="B5" s="9" t="inlineStr">
        <is>
          <t>INCASSI OPERATIVI</t>
        </is>
      </c>
      <c r="C5" s="10">
        <f>SUBTOTAL(9,C6:C19)</f>
        <v/>
      </c>
      <c r="D5" s="10">
        <f>SUBTOTAL(9,D6:D19)</f>
        <v/>
      </c>
      <c r="E5" s="10">
        <f>SUBTOTAL(9,E6:E19)</f>
        <v/>
      </c>
      <c r="F5" s="10">
        <f>SUBTOTAL(9,F6:F19)</f>
        <v/>
      </c>
      <c r="G5" s="10">
        <f>SUBTOTAL(9,G6:G19)</f>
        <v/>
      </c>
      <c r="H5" s="10">
        <f>SUBTOTAL(9,H6:H19)</f>
        <v/>
      </c>
      <c r="I5" s="10">
        <f>SUBTOTAL(9,I6:I19)</f>
        <v/>
      </c>
      <c r="J5" s="10">
        <f>SUBTOTAL(9,J6:J19)</f>
        <v/>
      </c>
      <c r="K5" s="10">
        <f>SUBTOTAL(9,K6:K19)</f>
        <v/>
      </c>
      <c r="L5" s="10">
        <f>SUBTOTAL(9,L6:L19)</f>
        <v/>
      </c>
      <c r="M5" s="10">
        <f>SUBTOTAL(9,M6:M19)</f>
        <v/>
      </c>
      <c r="N5" s="10">
        <f>SUBTOTAL(9,N6:N19)</f>
        <v/>
      </c>
      <c r="O5" s="10">
        <f>SUBTOTAL(9,O6:O19)</f>
        <v/>
      </c>
    </row>
    <row r="6" outlineLevel="1">
      <c r="A6" s="11" t="inlineStr">
        <is>
          <t>A1</t>
        </is>
      </c>
      <c r="B6" s="11" t="inlineStr">
        <is>
          <t xml:space="preserve">   Corrispettivi</t>
        </is>
      </c>
      <c r="C6" s="12">
        <f>SUBTOTAL(9,C7:C8)</f>
        <v/>
      </c>
      <c r="D6" s="12">
        <f>SUBTOTAL(9,D7:D8)</f>
        <v/>
      </c>
      <c r="E6" s="12">
        <f>SUBTOTAL(9,E7:E8)</f>
        <v/>
      </c>
      <c r="F6" s="12">
        <f>SUBTOTAL(9,F7:F8)</f>
        <v/>
      </c>
      <c r="G6" s="12">
        <f>SUBTOTAL(9,G7:G8)</f>
        <v/>
      </c>
      <c r="H6" s="12">
        <f>SUBTOTAL(9,H7:H8)</f>
        <v/>
      </c>
      <c r="I6" s="12">
        <f>SUBTOTAL(9,I7:I8)</f>
        <v/>
      </c>
      <c r="J6" s="12">
        <f>SUBTOTAL(9,J7:J8)</f>
        <v/>
      </c>
      <c r="K6" s="12">
        <f>SUBTOTAL(9,K7:K8)</f>
        <v/>
      </c>
      <c r="L6" s="12">
        <f>SUBTOTAL(9,L7:L8)</f>
        <v/>
      </c>
      <c r="M6" s="12">
        <f>SUBTOTAL(9,M7:M8)</f>
        <v/>
      </c>
      <c r="N6" s="12">
        <f>SUBTOTAL(9,N7:N8)</f>
        <v/>
      </c>
      <c r="O6" s="12">
        <f>SUBTOTAL(9,O7:O8)</f>
        <v/>
      </c>
    </row>
    <row r="7" hidden="1" outlineLevel="2">
      <c r="A7" s="13" t="inlineStr">
        <is>
          <t>10.01</t>
        </is>
      </c>
      <c r="B7" s="13" t="inlineStr">
        <is>
          <t xml:space="preserve">      Corrispettivi</t>
        </is>
      </c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>
        <f>SUM(C7:N7)</f>
        <v/>
      </c>
    </row>
    <row r="8" hidden="1" outlineLevel="2">
      <c r="A8" s="13" t="inlineStr">
        <is>
          <t>10.09</t>
        </is>
      </c>
      <c r="B8" s="13" t="inlineStr">
        <is>
          <t xml:space="preserve">      Resi, sconti e abbuoni su vendite</t>
        </is>
      </c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>
        <f>SUM(C8:N8)</f>
        <v/>
      </c>
    </row>
    <row r="9" outlineLevel="1">
      <c r="A9" s="11" t="inlineStr">
        <is>
          <t>A2</t>
        </is>
      </c>
      <c r="B9" s="11" t="inlineStr">
        <is>
          <t xml:space="preserve">   Eventi</t>
        </is>
      </c>
      <c r="C9" s="12">
        <f>SUBTOTAL(9,C10:C11)</f>
        <v/>
      </c>
      <c r="D9" s="12">
        <f>SUBTOTAL(9,D10:D11)</f>
        <v/>
      </c>
      <c r="E9" s="12">
        <f>SUBTOTAL(9,E10:E11)</f>
        <v/>
      </c>
      <c r="F9" s="12">
        <f>SUBTOTAL(9,F10:F11)</f>
        <v/>
      </c>
      <c r="G9" s="12">
        <f>SUBTOTAL(9,G10:G11)</f>
        <v/>
      </c>
      <c r="H9" s="12">
        <f>SUBTOTAL(9,H10:H11)</f>
        <v/>
      </c>
      <c r="I9" s="12">
        <f>SUBTOTAL(9,I10:I11)</f>
        <v/>
      </c>
      <c r="J9" s="12">
        <f>SUBTOTAL(9,J10:J11)</f>
        <v/>
      </c>
      <c r="K9" s="12">
        <f>SUBTOTAL(9,K10:K11)</f>
        <v/>
      </c>
      <c r="L9" s="12">
        <f>SUBTOTAL(9,L10:L11)</f>
        <v/>
      </c>
      <c r="M9" s="12">
        <f>SUBTOTAL(9,M10:M11)</f>
        <v/>
      </c>
      <c r="N9" s="12">
        <f>SUBTOTAL(9,N10:N11)</f>
        <v/>
      </c>
      <c r="O9" s="12">
        <f>SUBTOTAL(9,O10:O11)</f>
        <v/>
      </c>
    </row>
    <row r="10" hidden="1" outlineLevel="2">
      <c r="A10" s="13" t="inlineStr">
        <is>
          <t>11.01</t>
        </is>
      </c>
      <c r="B10" s="13" t="inlineStr">
        <is>
          <t xml:space="preserve">      Ricavi eventi serali (ingressi e consumazioni)</t>
        </is>
      </c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>
        <f>SUM(C10:N10)</f>
        <v/>
      </c>
    </row>
    <row r="11" hidden="1" outlineLevel="2">
      <c r="A11" s="13" t="inlineStr">
        <is>
          <t>11.02</t>
        </is>
      </c>
      <c r="B11" s="13" t="inlineStr">
        <is>
          <t xml:space="preserve">      Ricavi eventi privati e compleanni</t>
        </is>
      </c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>
        <f>SUM(C11:N11)</f>
        <v/>
      </c>
    </row>
    <row r="12" outlineLevel="1">
      <c r="A12" s="11" t="inlineStr">
        <is>
          <t>A3</t>
        </is>
      </c>
      <c r="B12" s="11" t="inlineStr">
        <is>
          <t xml:space="preserve">   Altri proventi</t>
        </is>
      </c>
      <c r="C12" s="12">
        <f>SUBTOTAL(9,C13:C19)</f>
        <v/>
      </c>
      <c r="D12" s="12">
        <f>SUBTOTAL(9,D13:D19)</f>
        <v/>
      </c>
      <c r="E12" s="12">
        <f>SUBTOTAL(9,E13:E19)</f>
        <v/>
      </c>
      <c r="F12" s="12">
        <f>SUBTOTAL(9,F13:F19)</f>
        <v/>
      </c>
      <c r="G12" s="12">
        <f>SUBTOTAL(9,G13:G19)</f>
        <v/>
      </c>
      <c r="H12" s="12">
        <f>SUBTOTAL(9,H13:H19)</f>
        <v/>
      </c>
      <c r="I12" s="12">
        <f>SUBTOTAL(9,I13:I19)</f>
        <v/>
      </c>
      <c r="J12" s="12">
        <f>SUBTOTAL(9,J13:J19)</f>
        <v/>
      </c>
      <c r="K12" s="12">
        <f>SUBTOTAL(9,K13:K19)</f>
        <v/>
      </c>
      <c r="L12" s="12">
        <f>SUBTOTAL(9,L13:L19)</f>
        <v/>
      </c>
      <c r="M12" s="12">
        <f>SUBTOTAL(9,M13:M19)</f>
        <v/>
      </c>
      <c r="N12" s="12">
        <f>SUBTOTAL(9,N13:N19)</f>
        <v/>
      </c>
      <c r="O12" s="12">
        <f>SUBTOTAL(9,O13:O19)</f>
        <v/>
      </c>
    </row>
    <row r="13" hidden="1" outlineLevel="2">
      <c r="A13" s="13" t="inlineStr">
        <is>
          <t>12.01</t>
        </is>
      </c>
      <c r="B13" s="13" t="inlineStr">
        <is>
          <t xml:space="preserve">      Proventi vari</t>
        </is>
      </c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>
        <f>SUM(C13:N13)</f>
        <v/>
      </c>
    </row>
    <row r="14" hidden="1" outlineLevel="2">
      <c r="A14" s="13" t="inlineStr">
        <is>
          <t>12.02</t>
        </is>
      </c>
      <c r="B14" s="13" t="inlineStr">
        <is>
          <t xml:space="preserve">      Contributi in conto esercizio</t>
        </is>
      </c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>
        <f>SUM(C14:N14)</f>
        <v/>
      </c>
    </row>
    <row r="15" hidden="1" outlineLevel="2">
      <c r="A15" s="13" t="inlineStr">
        <is>
          <t>12.03</t>
        </is>
      </c>
      <c r="B15" s="13" t="inlineStr">
        <is>
          <t xml:space="preserve">      Rimborsi assicurativi</t>
        </is>
      </c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>
        <f>SUM(C15:N15)</f>
        <v/>
      </c>
    </row>
    <row r="16" hidden="1" outlineLevel="2">
      <c r="A16" s="13" t="inlineStr">
        <is>
          <t>12.04</t>
        </is>
      </c>
      <c r="B16" s="13" t="inlineStr">
        <is>
          <t xml:space="preserve">      Premi, bonus e contributi da fornitori</t>
        </is>
      </c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>
        <f>SUM(C16:N16)</f>
        <v/>
      </c>
    </row>
    <row r="17" hidden="1" outlineLevel="2">
      <c r="A17" s="13" t="inlineStr">
        <is>
          <t>12.06</t>
        </is>
      </c>
      <c r="B17" s="13" t="inlineStr">
        <is>
          <t xml:space="preserve">      Sopravvenienze attive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>
        <f>SUM(C17:N17)</f>
        <v/>
      </c>
    </row>
    <row r="18" hidden="1" outlineLevel="2">
      <c r="A18" s="13" t="inlineStr">
        <is>
          <t>13.01</t>
        </is>
      </c>
      <c r="B18" s="13" t="inlineStr">
        <is>
          <t xml:space="preserve">      Interessi attivi bancari</t>
        </is>
      </c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>
        <f>SUM(C18:N18)</f>
        <v/>
      </c>
    </row>
    <row r="19" hidden="1" outlineLevel="2">
      <c r="A19" s="13" t="inlineStr">
        <is>
          <t>13.02</t>
        </is>
      </c>
      <c r="B19" s="13" t="inlineStr">
        <is>
          <t xml:space="preserve">      Altri proventi finanziari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>
        <f>SUM(C19:N19)</f>
        <v/>
      </c>
    </row>
    <row r="21">
      <c r="A21" s="9" t="inlineStr">
        <is>
          <t>B</t>
        </is>
      </c>
      <c r="B21" s="9" t="inlineStr">
        <is>
          <t>COSTO DEL VENDUTO</t>
        </is>
      </c>
      <c r="C21" s="10">
        <f>SUBTOTAL(9,C22:C51)</f>
        <v/>
      </c>
      <c r="D21" s="10">
        <f>SUBTOTAL(9,D22:D51)</f>
        <v/>
      </c>
      <c r="E21" s="10">
        <f>SUBTOTAL(9,E22:E51)</f>
        <v/>
      </c>
      <c r="F21" s="10">
        <f>SUBTOTAL(9,F22:F51)</f>
        <v/>
      </c>
      <c r="G21" s="10">
        <f>SUBTOTAL(9,G22:G51)</f>
        <v/>
      </c>
      <c r="H21" s="10">
        <f>SUBTOTAL(9,H22:H51)</f>
        <v/>
      </c>
      <c r="I21" s="10">
        <f>SUBTOTAL(9,I22:I51)</f>
        <v/>
      </c>
      <c r="J21" s="10">
        <f>SUBTOTAL(9,J22:J51)</f>
        <v/>
      </c>
      <c r="K21" s="10">
        <f>SUBTOTAL(9,K22:K51)</f>
        <v/>
      </c>
      <c r="L21" s="10">
        <f>SUBTOTAL(9,L22:L51)</f>
        <v/>
      </c>
      <c r="M21" s="10">
        <f>SUBTOTAL(9,M22:M51)</f>
        <v/>
      </c>
      <c r="N21" s="10">
        <f>SUBTOTAL(9,N22:N51)</f>
        <v/>
      </c>
      <c r="O21" s="10">
        <f>SUBTOTAL(9,O22:O51)</f>
        <v/>
      </c>
    </row>
    <row r="22" outlineLevel="1">
      <c r="A22" s="11" t="inlineStr">
        <is>
          <t>B1</t>
        </is>
      </c>
      <c r="B22" s="11" t="inlineStr">
        <is>
          <t xml:space="preserve">   Beverage alcolico</t>
        </is>
      </c>
      <c r="C22" s="12">
        <f>SUBTOTAL(9,C23:C27)</f>
        <v/>
      </c>
      <c r="D22" s="12">
        <f>SUBTOTAL(9,D23:D27)</f>
        <v/>
      </c>
      <c r="E22" s="12">
        <f>SUBTOTAL(9,E23:E27)</f>
        <v/>
      </c>
      <c r="F22" s="12">
        <f>SUBTOTAL(9,F23:F27)</f>
        <v/>
      </c>
      <c r="G22" s="12">
        <f>SUBTOTAL(9,G23:G27)</f>
        <v/>
      </c>
      <c r="H22" s="12">
        <f>SUBTOTAL(9,H23:H27)</f>
        <v/>
      </c>
      <c r="I22" s="12">
        <f>SUBTOTAL(9,I23:I27)</f>
        <v/>
      </c>
      <c r="J22" s="12">
        <f>SUBTOTAL(9,J23:J27)</f>
        <v/>
      </c>
      <c r="K22" s="12">
        <f>SUBTOTAL(9,K23:K27)</f>
        <v/>
      </c>
      <c r="L22" s="12">
        <f>SUBTOTAL(9,L23:L27)</f>
        <v/>
      </c>
      <c r="M22" s="12">
        <f>SUBTOTAL(9,M23:M27)</f>
        <v/>
      </c>
      <c r="N22" s="12">
        <f>SUBTOTAL(9,N23:N27)</f>
        <v/>
      </c>
      <c r="O22" s="12">
        <f>SUBTOTAL(9,O23:O27)</f>
        <v/>
      </c>
    </row>
    <row r="23" hidden="1" outlineLevel="2">
      <c r="A23" s="13" t="inlineStr">
        <is>
          <t>20.1.01</t>
        </is>
      </c>
      <c r="B23" s="13" t="inlineStr">
        <is>
          <t xml:space="preserve">      Birra fusto</t>
        </is>
      </c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>
        <f>SUM(C23:N23)</f>
        <v/>
      </c>
    </row>
    <row r="24" hidden="1" outlineLevel="2">
      <c r="A24" s="13" t="inlineStr">
        <is>
          <t>20.1.02</t>
        </is>
      </c>
      <c r="B24" s="13" t="inlineStr">
        <is>
          <t xml:space="preserve">      Birra bottiglia e lattina</t>
        </is>
      </c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>
        <f>SUM(C24:N24)</f>
        <v/>
      </c>
    </row>
    <row r="25" hidden="1" outlineLevel="2">
      <c r="A25" s="13" t="inlineStr">
        <is>
          <t>20.1.03</t>
        </is>
      </c>
      <c r="B25" s="13" t="inlineStr">
        <is>
          <t xml:space="preserve">      Distillati e liquori</t>
        </is>
      </c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>
        <f>SUM(C25:N25)</f>
        <v/>
      </c>
    </row>
    <row r="26" hidden="1" outlineLevel="2">
      <c r="A26" s="13" t="inlineStr">
        <is>
          <t>20.1.04</t>
        </is>
      </c>
      <c r="B26" s="13" t="inlineStr">
        <is>
          <t xml:space="preserve">      Vermouth, bitter e aperitivi</t>
        </is>
      </c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>
        <f>SUM(C26:N26)</f>
        <v/>
      </c>
    </row>
    <row r="27" hidden="1" outlineLevel="2">
      <c r="A27" s="13" t="inlineStr">
        <is>
          <t>20.1.05</t>
        </is>
      </c>
      <c r="B27" s="13" t="inlineStr">
        <is>
          <t xml:space="preserve">      Vini</t>
        </is>
      </c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>
        <f>SUM(C27:N27)</f>
        <v/>
      </c>
    </row>
    <row r="28" outlineLevel="1">
      <c r="A28" s="11" t="inlineStr">
        <is>
          <t>B2</t>
        </is>
      </c>
      <c r="B28" s="11" t="inlineStr">
        <is>
          <t xml:space="preserve">   Beverage analcolico</t>
        </is>
      </c>
      <c r="C28" s="12">
        <f>SUBTOTAL(9,C29:C32)</f>
        <v/>
      </c>
      <c r="D28" s="12">
        <f>SUBTOTAL(9,D29:D32)</f>
        <v/>
      </c>
      <c r="E28" s="12">
        <f>SUBTOTAL(9,E29:E32)</f>
        <v/>
      </c>
      <c r="F28" s="12">
        <f>SUBTOTAL(9,F29:F32)</f>
        <v/>
      </c>
      <c r="G28" s="12">
        <f>SUBTOTAL(9,G29:G32)</f>
        <v/>
      </c>
      <c r="H28" s="12">
        <f>SUBTOTAL(9,H29:H32)</f>
        <v/>
      </c>
      <c r="I28" s="12">
        <f>SUBTOTAL(9,I29:I32)</f>
        <v/>
      </c>
      <c r="J28" s="12">
        <f>SUBTOTAL(9,J29:J32)</f>
        <v/>
      </c>
      <c r="K28" s="12">
        <f>SUBTOTAL(9,K29:K32)</f>
        <v/>
      </c>
      <c r="L28" s="12">
        <f>SUBTOTAL(9,L29:L32)</f>
        <v/>
      </c>
      <c r="M28" s="12">
        <f>SUBTOTAL(9,M29:M32)</f>
        <v/>
      </c>
      <c r="N28" s="12">
        <f>SUBTOTAL(9,N29:N32)</f>
        <v/>
      </c>
      <c r="O28" s="12">
        <f>SUBTOTAL(9,O29:O32)</f>
        <v/>
      </c>
    </row>
    <row r="29" hidden="1" outlineLevel="2">
      <c r="A29" s="13" t="inlineStr">
        <is>
          <t>20.2.01</t>
        </is>
      </c>
      <c r="B29" s="13" t="inlineStr">
        <is>
          <t xml:space="preserve">      Bibite e soft drink</t>
        </is>
      </c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>
        <f>SUM(C29:N29)</f>
        <v/>
      </c>
    </row>
    <row r="30" hidden="1" outlineLevel="2">
      <c r="A30" s="13" t="inlineStr">
        <is>
          <t>20.2.02</t>
        </is>
      </c>
      <c r="B30" s="13" t="inlineStr">
        <is>
          <t xml:space="preserve">      Acqua minerale</t>
        </is>
      </c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>
        <f>SUM(C30:N30)</f>
        <v/>
      </c>
    </row>
    <row r="31" hidden="1" outlineLevel="2">
      <c r="A31" s="13" t="inlineStr">
        <is>
          <t>20.2.03</t>
        </is>
      </c>
      <c r="B31" s="13" t="inlineStr">
        <is>
          <t xml:space="preserve">      Succhi, nettari e centrifugati</t>
        </is>
      </c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>
        <f>SUM(C31:N31)</f>
        <v/>
      </c>
    </row>
    <row r="32" hidden="1" outlineLevel="2">
      <c r="A32" s="13" t="inlineStr">
        <is>
          <t>20.2.04</t>
        </is>
      </c>
      <c r="B32" s="13" t="inlineStr">
        <is>
          <t xml:space="preserve">      Sciroppi, purea e mixer</t>
        </is>
      </c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>
        <f>SUM(C32:N32)</f>
        <v/>
      </c>
    </row>
    <row r="33" outlineLevel="1">
      <c r="A33" s="11" t="inlineStr">
        <is>
          <t>B3</t>
        </is>
      </c>
      <c r="B33" s="11" t="inlineStr">
        <is>
          <t xml:space="preserve">   Caffetteria</t>
        </is>
      </c>
      <c r="C33" s="12">
        <f>SUBTOTAL(9,C34:C37)</f>
        <v/>
      </c>
      <c r="D33" s="12">
        <f>SUBTOTAL(9,D34:D37)</f>
        <v/>
      </c>
      <c r="E33" s="12">
        <f>SUBTOTAL(9,E34:E37)</f>
        <v/>
      </c>
      <c r="F33" s="12">
        <f>SUBTOTAL(9,F34:F37)</f>
        <v/>
      </c>
      <c r="G33" s="12">
        <f>SUBTOTAL(9,G34:G37)</f>
        <v/>
      </c>
      <c r="H33" s="12">
        <f>SUBTOTAL(9,H34:H37)</f>
        <v/>
      </c>
      <c r="I33" s="12">
        <f>SUBTOTAL(9,I34:I37)</f>
        <v/>
      </c>
      <c r="J33" s="12">
        <f>SUBTOTAL(9,J34:J37)</f>
        <v/>
      </c>
      <c r="K33" s="12">
        <f>SUBTOTAL(9,K34:K37)</f>
        <v/>
      </c>
      <c r="L33" s="12">
        <f>SUBTOTAL(9,L34:L37)</f>
        <v/>
      </c>
      <c r="M33" s="12">
        <f>SUBTOTAL(9,M34:M37)</f>
        <v/>
      </c>
      <c r="N33" s="12">
        <f>SUBTOTAL(9,N34:N37)</f>
        <v/>
      </c>
      <c r="O33" s="12">
        <f>SUBTOTAL(9,O34:O37)</f>
        <v/>
      </c>
    </row>
    <row r="34" hidden="1" outlineLevel="2">
      <c r="A34" s="13" t="inlineStr">
        <is>
          <t>20.3.01</t>
        </is>
      </c>
      <c r="B34" s="13" t="inlineStr">
        <is>
          <t xml:space="preserve">      Caffè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>
        <f>SUM(C34:N34)</f>
        <v/>
      </c>
    </row>
    <row r="35" hidden="1" outlineLevel="2">
      <c r="A35" s="13" t="inlineStr">
        <is>
          <t>20.3.02</t>
        </is>
      </c>
      <c r="B35" s="13" t="inlineStr">
        <is>
          <t xml:space="preserve">      Latte e derivati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>
        <f>SUM(C35:N35)</f>
        <v/>
      </c>
    </row>
    <row r="36" hidden="1" outlineLevel="2">
      <c r="A36" s="13" t="inlineStr">
        <is>
          <t>20.3.03</t>
        </is>
      </c>
      <c r="B36" s="13" t="inlineStr">
        <is>
          <t xml:space="preserve">      Tè, infusi e cioccolata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>
        <f>SUM(C36:N36)</f>
        <v/>
      </c>
    </row>
    <row r="37" hidden="1" outlineLevel="2">
      <c r="A37" s="13" t="inlineStr">
        <is>
          <t>20.3.04</t>
        </is>
      </c>
      <c r="B37" s="13" t="inlineStr">
        <is>
          <t xml:space="preserve">      Zucchero e complementi caffetteria</t>
        </is>
      </c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>
        <f>SUM(C37:N37)</f>
        <v/>
      </c>
    </row>
    <row r="38" outlineLevel="1">
      <c r="A38" s="11" t="inlineStr">
        <is>
          <t>B4</t>
        </is>
      </c>
      <c r="B38" s="11" t="inlineStr">
        <is>
          <t xml:space="preserve">   Food</t>
        </is>
      </c>
      <c r="C38" s="12">
        <f>SUBTOTAL(9,C39:C43)</f>
        <v/>
      </c>
      <c r="D38" s="12">
        <f>SUBTOTAL(9,D39:D43)</f>
        <v/>
      </c>
      <c r="E38" s="12">
        <f>SUBTOTAL(9,E39:E43)</f>
        <v/>
      </c>
      <c r="F38" s="12">
        <f>SUBTOTAL(9,F39:F43)</f>
        <v/>
      </c>
      <c r="G38" s="12">
        <f>SUBTOTAL(9,G39:G43)</f>
        <v/>
      </c>
      <c r="H38" s="12">
        <f>SUBTOTAL(9,H39:H43)</f>
        <v/>
      </c>
      <c r="I38" s="12">
        <f>SUBTOTAL(9,I39:I43)</f>
        <v/>
      </c>
      <c r="J38" s="12">
        <f>SUBTOTAL(9,J39:J43)</f>
        <v/>
      </c>
      <c r="K38" s="12">
        <f>SUBTOTAL(9,K39:K43)</f>
        <v/>
      </c>
      <c r="L38" s="12">
        <f>SUBTOTAL(9,L39:L43)</f>
        <v/>
      </c>
      <c r="M38" s="12">
        <f>SUBTOTAL(9,M39:M43)</f>
        <v/>
      </c>
      <c r="N38" s="12">
        <f>SUBTOTAL(9,N39:N43)</f>
        <v/>
      </c>
      <c r="O38" s="12">
        <f>SUBTOTAL(9,O39:O43)</f>
        <v/>
      </c>
    </row>
    <row r="39" hidden="1" outlineLevel="2">
      <c r="A39" s="13" t="inlineStr">
        <is>
          <t>20.4.01</t>
        </is>
      </c>
      <c r="B39" s="13" t="inlineStr">
        <is>
          <t xml:space="preserve">      Beni alimentari e gastronomia</t>
        </is>
      </c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>
        <f>SUM(C39:N39)</f>
        <v/>
      </c>
    </row>
    <row r="40" hidden="1" outlineLevel="2">
      <c r="A40" s="13" t="inlineStr">
        <is>
          <t>20.4.02</t>
        </is>
      </c>
      <c r="B40" s="13" t="inlineStr">
        <is>
          <t xml:space="preserve">      Frutta e verdura</t>
        </is>
      </c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>
        <f>SUM(C40:N40)</f>
        <v/>
      </c>
    </row>
    <row r="41" hidden="1" outlineLevel="2">
      <c r="A41" s="13" t="inlineStr">
        <is>
          <t>20.4.03</t>
        </is>
      </c>
      <c r="B41" s="13" t="inlineStr">
        <is>
          <t xml:space="preserve">      Pane e prodotti da forno</t>
        </is>
      </c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>
        <f>SUM(C41:N41)</f>
        <v/>
      </c>
    </row>
    <row r="42" hidden="1" outlineLevel="2">
      <c r="A42" s="13" t="inlineStr">
        <is>
          <t>20.4.04</t>
        </is>
      </c>
      <c r="B42" s="13" t="inlineStr">
        <is>
          <t xml:space="preserve">      Pasticceria e dolci</t>
        </is>
      </c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>
        <f>SUM(C42:N42)</f>
        <v/>
      </c>
    </row>
    <row r="43" hidden="1" outlineLevel="2">
      <c r="A43" s="13" t="inlineStr">
        <is>
          <t>20.4.05</t>
        </is>
      </c>
      <c r="B43" s="13" t="inlineStr">
        <is>
          <t xml:space="preserve">      Snack e prodotti confezionati</t>
        </is>
      </c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>
        <f>SUM(C43:N43)</f>
        <v/>
      </c>
    </row>
    <row r="44" outlineLevel="1">
      <c r="A44" s="11" t="inlineStr">
        <is>
          <t>B5</t>
        </is>
      </c>
      <c r="B44" s="11" t="inlineStr">
        <is>
          <t xml:space="preserve">   Consumabili di servizio</t>
        </is>
      </c>
      <c r="C44" s="12">
        <f>SUBTOTAL(9,C45:C49)</f>
        <v/>
      </c>
      <c r="D44" s="12">
        <f>SUBTOTAL(9,D45:D49)</f>
        <v/>
      </c>
      <c r="E44" s="12">
        <f>SUBTOTAL(9,E45:E49)</f>
        <v/>
      </c>
      <c r="F44" s="12">
        <f>SUBTOTAL(9,F45:F49)</f>
        <v/>
      </c>
      <c r="G44" s="12">
        <f>SUBTOTAL(9,G45:G49)</f>
        <v/>
      </c>
      <c r="H44" s="12">
        <f>SUBTOTAL(9,H45:H49)</f>
        <v/>
      </c>
      <c r="I44" s="12">
        <f>SUBTOTAL(9,I45:I49)</f>
        <v/>
      </c>
      <c r="J44" s="12">
        <f>SUBTOTAL(9,J45:J49)</f>
        <v/>
      </c>
      <c r="K44" s="12">
        <f>SUBTOTAL(9,K45:K49)</f>
        <v/>
      </c>
      <c r="L44" s="12">
        <f>SUBTOTAL(9,L45:L49)</f>
        <v/>
      </c>
      <c r="M44" s="12">
        <f>SUBTOTAL(9,M45:M49)</f>
        <v/>
      </c>
      <c r="N44" s="12">
        <f>SUBTOTAL(9,N45:N49)</f>
        <v/>
      </c>
      <c r="O44" s="12">
        <f>SUBTOTAL(9,O45:O49)</f>
        <v/>
      </c>
    </row>
    <row r="45" hidden="1" outlineLevel="2">
      <c r="A45" s="13" t="inlineStr">
        <is>
          <t>20.5.01</t>
        </is>
      </c>
      <c r="B45" s="13" t="inlineStr">
        <is>
          <t xml:space="preserve">      Ghiaccio</t>
        </is>
      </c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>
        <f>SUM(C45:N45)</f>
        <v/>
      </c>
    </row>
    <row r="46" hidden="1" outlineLevel="2">
      <c r="A46" s="13" t="inlineStr">
        <is>
          <t>20.5.02</t>
        </is>
      </c>
      <c r="B46" s="13" t="inlineStr">
        <is>
          <t xml:space="preserve">      Garnish e decorazioni</t>
        </is>
      </c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>
        <f>SUM(C46:N46)</f>
        <v/>
      </c>
    </row>
    <row r="47" hidden="1" outlineLevel="2">
      <c r="A47" s="13" t="inlineStr">
        <is>
          <t>20.5.03</t>
        </is>
      </c>
      <c r="B47" s="13" t="inlineStr">
        <is>
          <t xml:space="preserve">      Monouso, packaging e asporto</t>
        </is>
      </c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>
        <f>SUM(C47:N47)</f>
        <v/>
      </c>
    </row>
    <row r="48" hidden="1" outlineLevel="2">
      <c r="A48" s="13" t="inlineStr">
        <is>
          <t>20.5.04</t>
        </is>
      </c>
      <c r="B48" s="13" t="inlineStr">
        <is>
          <t xml:space="preserve">      Materiale igiene e pulizia</t>
        </is>
      </c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>
        <f>SUM(C48:N48)</f>
        <v/>
      </c>
    </row>
    <row r="49" hidden="1" outlineLevel="2">
      <c r="A49" s="13" t="inlineStr">
        <is>
          <t>20.5.05</t>
        </is>
      </c>
      <c r="B49" s="13" t="inlineStr">
        <is>
          <t xml:space="preserve">      Altri materiali di consumo</t>
        </is>
      </c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>
        <f>SUM(C49:N49)</f>
        <v/>
      </c>
    </row>
    <row r="50" outlineLevel="1">
      <c r="A50" s="11" t="inlineStr">
        <is>
          <t>B6</t>
        </is>
      </c>
      <c r="B50" s="11" t="inlineStr">
        <is>
          <t xml:space="preserve">   Rettifiche su acquisti</t>
        </is>
      </c>
      <c r="C50" s="12">
        <f>SUBTOTAL(9,C51:C51)</f>
        <v/>
      </c>
      <c r="D50" s="12">
        <f>SUBTOTAL(9,D51:D51)</f>
        <v/>
      </c>
      <c r="E50" s="12">
        <f>SUBTOTAL(9,E51:E51)</f>
        <v/>
      </c>
      <c r="F50" s="12">
        <f>SUBTOTAL(9,F51:F51)</f>
        <v/>
      </c>
      <c r="G50" s="12">
        <f>SUBTOTAL(9,G51:G51)</f>
        <v/>
      </c>
      <c r="H50" s="12">
        <f>SUBTOTAL(9,H51:H51)</f>
        <v/>
      </c>
      <c r="I50" s="12">
        <f>SUBTOTAL(9,I51:I51)</f>
        <v/>
      </c>
      <c r="J50" s="12">
        <f>SUBTOTAL(9,J51:J51)</f>
        <v/>
      </c>
      <c r="K50" s="12">
        <f>SUBTOTAL(9,K51:K51)</f>
        <v/>
      </c>
      <c r="L50" s="12">
        <f>SUBTOTAL(9,L51:L51)</f>
        <v/>
      </c>
      <c r="M50" s="12">
        <f>SUBTOTAL(9,M51:M51)</f>
        <v/>
      </c>
      <c r="N50" s="12">
        <f>SUBTOTAL(9,N51:N51)</f>
        <v/>
      </c>
      <c r="O50" s="12">
        <f>SUBTOTAL(9,O51:O51)</f>
        <v/>
      </c>
    </row>
    <row r="51" hidden="1" outlineLevel="2">
      <c r="A51" s="13" t="inlineStr">
        <is>
          <t>20.6.01</t>
        </is>
      </c>
      <c r="B51" s="13" t="inlineStr">
        <is>
          <t xml:space="preserve">      Resi, sconti e premi su acquisti</t>
        </is>
      </c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>
        <f>SUM(C51:N51)</f>
        <v/>
      </c>
    </row>
    <row r="52">
      <c r="A52" s="15" t="n"/>
      <c r="B52" s="16" t="inlineStr">
        <is>
          <t>MARGINE DI CONTRIBUZIONE</t>
        </is>
      </c>
      <c r="C52" s="17">
        <f>C5+C21</f>
        <v/>
      </c>
      <c r="D52" s="17">
        <f>D5+D21</f>
        <v/>
      </c>
      <c r="E52" s="17">
        <f>E5+E21</f>
        <v/>
      </c>
      <c r="F52" s="17">
        <f>F5+F21</f>
        <v/>
      </c>
      <c r="G52" s="17">
        <f>G5+G21</f>
        <v/>
      </c>
      <c r="H52" s="17">
        <f>H5+H21</f>
        <v/>
      </c>
      <c r="I52" s="17">
        <f>I5+I21</f>
        <v/>
      </c>
      <c r="J52" s="17">
        <f>J5+J21</f>
        <v/>
      </c>
      <c r="K52" s="17">
        <f>K5+K21</f>
        <v/>
      </c>
      <c r="L52" s="17">
        <f>L5+L21</f>
        <v/>
      </c>
      <c r="M52" s="17">
        <f>M5+M21</f>
        <v/>
      </c>
      <c r="N52" s="17">
        <f>N5+N21</f>
        <v/>
      </c>
      <c r="O52" s="17">
        <f>O5+O21</f>
        <v/>
      </c>
    </row>
    <row r="54">
      <c r="A54" s="9" t="inlineStr">
        <is>
          <t>C</t>
        </is>
      </c>
      <c r="B54" s="9" t="inlineStr">
        <is>
          <t>COSTO DEL PERSONALE</t>
        </is>
      </c>
      <c r="C54" s="10">
        <f>SUBTOTAL(9,C55:C81)</f>
        <v/>
      </c>
      <c r="D54" s="10">
        <f>SUBTOTAL(9,D55:D81)</f>
        <v/>
      </c>
      <c r="E54" s="10">
        <f>SUBTOTAL(9,E55:E81)</f>
        <v/>
      </c>
      <c r="F54" s="10">
        <f>SUBTOTAL(9,F55:F81)</f>
        <v/>
      </c>
      <c r="G54" s="10">
        <f>SUBTOTAL(9,G55:G81)</f>
        <v/>
      </c>
      <c r="H54" s="10">
        <f>SUBTOTAL(9,H55:H81)</f>
        <v/>
      </c>
      <c r="I54" s="10">
        <f>SUBTOTAL(9,I55:I81)</f>
        <v/>
      </c>
      <c r="J54" s="10">
        <f>SUBTOTAL(9,J55:J81)</f>
        <v/>
      </c>
      <c r="K54" s="10">
        <f>SUBTOTAL(9,K55:K81)</f>
        <v/>
      </c>
      <c r="L54" s="10">
        <f>SUBTOTAL(9,L55:L81)</f>
        <v/>
      </c>
      <c r="M54" s="10">
        <f>SUBTOTAL(9,M55:M81)</f>
        <v/>
      </c>
      <c r="N54" s="10">
        <f>SUBTOTAL(9,N55:N81)</f>
        <v/>
      </c>
      <c r="O54" s="10">
        <f>SUBTOTAL(9,O55:O81)</f>
        <v/>
      </c>
    </row>
    <row r="55" outlineLevel="1">
      <c r="A55" s="11" t="inlineStr">
        <is>
          <t>C1</t>
        </is>
      </c>
      <c r="B55" s="11" t="inlineStr">
        <is>
          <t xml:space="preserve">   Retribuzioni</t>
        </is>
      </c>
      <c r="C55" s="12">
        <f>SUBTOTAL(9,C56:C64)</f>
        <v/>
      </c>
      <c r="D55" s="12">
        <f>SUBTOTAL(9,D56:D64)</f>
        <v/>
      </c>
      <c r="E55" s="12">
        <f>SUBTOTAL(9,E56:E64)</f>
        <v/>
      </c>
      <c r="F55" s="12">
        <f>SUBTOTAL(9,F56:F64)</f>
        <v/>
      </c>
      <c r="G55" s="12">
        <f>SUBTOTAL(9,G56:G64)</f>
        <v/>
      </c>
      <c r="H55" s="12">
        <f>SUBTOTAL(9,H56:H64)</f>
        <v/>
      </c>
      <c r="I55" s="12">
        <f>SUBTOTAL(9,I56:I64)</f>
        <v/>
      </c>
      <c r="J55" s="12">
        <f>SUBTOTAL(9,J56:J64)</f>
        <v/>
      </c>
      <c r="K55" s="12">
        <f>SUBTOTAL(9,K56:K64)</f>
        <v/>
      </c>
      <c r="L55" s="12">
        <f>SUBTOTAL(9,L56:L64)</f>
        <v/>
      </c>
      <c r="M55" s="12">
        <f>SUBTOTAL(9,M56:M64)</f>
        <v/>
      </c>
      <c r="N55" s="12">
        <f>SUBTOTAL(9,N56:N64)</f>
        <v/>
      </c>
      <c r="O55" s="12">
        <f>SUBTOTAL(9,O56:O64)</f>
        <v/>
      </c>
    </row>
    <row r="56" hidden="1" outlineLevel="2">
      <c r="A56" s="13" t="inlineStr">
        <is>
          <t>28.1.01</t>
        </is>
      </c>
      <c r="B56" s="13" t="inlineStr">
        <is>
          <t xml:space="preserve">      Retribuzioni personale dipendente serale</t>
        </is>
      </c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>
        <f>SUM(C56:N56)</f>
        <v/>
      </c>
    </row>
    <row r="57" hidden="1" outlineLevel="2">
      <c r="A57" s="13" t="inlineStr">
        <is>
          <t>28.1.02</t>
        </is>
      </c>
      <c r="B57" s="13" t="inlineStr">
        <is>
          <t xml:space="preserve">      Retribuzioni personale extra e a chiamata</t>
        </is>
      </c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>
        <f>SUM(C57:N57)</f>
        <v/>
      </c>
    </row>
    <row r="58" hidden="1" outlineLevel="2">
      <c r="A58" s="13" t="inlineStr">
        <is>
          <t>28.1.03</t>
        </is>
      </c>
      <c r="B58" s="13" t="inlineStr">
        <is>
          <t xml:space="preserve">      Retribuzioni personale servizio mattina</t>
        </is>
      </c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>
        <f>SUM(C58:N58)</f>
        <v/>
      </c>
    </row>
    <row r="59" hidden="1" outlineLevel="2">
      <c r="A59" s="13" t="inlineStr">
        <is>
          <t>28.1.04</t>
        </is>
      </c>
      <c r="B59" s="13" t="inlineStr">
        <is>
          <t xml:space="preserve">      Retribuzioni personale extra mattina</t>
        </is>
      </c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>
        <f>SUM(C59:N59)</f>
        <v/>
      </c>
    </row>
    <row r="60" hidden="1" outlineLevel="2">
      <c r="A60" s="13" t="inlineStr">
        <is>
          <t>28.1.05</t>
        </is>
      </c>
      <c r="B60" s="13" t="inlineStr">
        <is>
          <t xml:space="preserve">      Retribuzioni personale pulizie</t>
        </is>
      </c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>
        <f>SUM(C60:N60)</f>
        <v/>
      </c>
    </row>
    <row r="61" hidden="1" outlineLevel="2">
      <c r="A61" s="13" t="inlineStr">
        <is>
          <t>28.1.06</t>
        </is>
      </c>
      <c r="B61" s="13" t="inlineStr">
        <is>
          <t xml:space="preserve">      Retribuzioni personale sicurezza</t>
        </is>
      </c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>
        <f>SUM(C61:N61)</f>
        <v/>
      </c>
    </row>
    <row r="62" hidden="1" outlineLevel="2">
      <c r="A62" s="13" t="inlineStr">
        <is>
          <t>28.1.07</t>
        </is>
      </c>
      <c r="B62" s="13" t="inlineStr">
        <is>
          <t xml:space="preserve">      Straordinari e maggiorazioni</t>
        </is>
      </c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>
        <f>SUM(C62:N62)</f>
        <v/>
      </c>
    </row>
    <row r="63" hidden="1" outlineLevel="2">
      <c r="A63" s="13" t="inlineStr">
        <is>
          <t>28.1.08</t>
        </is>
      </c>
      <c r="B63" s="13" t="inlineStr">
        <is>
          <t xml:space="preserve">      Ferie, permessi e mensilità aggiuntive</t>
        </is>
      </c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>
        <f>SUM(C63:N63)</f>
        <v/>
      </c>
    </row>
    <row r="64" hidden="1" outlineLevel="2">
      <c r="A64" s="13" t="inlineStr">
        <is>
          <t>28.1.09</t>
        </is>
      </c>
      <c r="B64" s="13" t="inlineStr">
        <is>
          <t xml:space="preserve">      Retribuzioni personale amministrativo</t>
        </is>
      </c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>
        <f>SUM(C64:N64)</f>
        <v/>
      </c>
    </row>
    <row r="65" outlineLevel="1">
      <c r="A65" s="11" t="inlineStr">
        <is>
          <t>C2</t>
        </is>
      </c>
      <c r="B65" s="11" t="inlineStr">
        <is>
          <t xml:space="preserve">   Oneri sociali</t>
        </is>
      </c>
      <c r="C65" s="12">
        <f>SUBTOTAL(9,C66:C68)</f>
        <v/>
      </c>
      <c r="D65" s="12">
        <f>SUBTOTAL(9,D66:D68)</f>
        <v/>
      </c>
      <c r="E65" s="12">
        <f>SUBTOTAL(9,E66:E68)</f>
        <v/>
      </c>
      <c r="F65" s="12">
        <f>SUBTOTAL(9,F66:F68)</f>
        <v/>
      </c>
      <c r="G65" s="12">
        <f>SUBTOTAL(9,G66:G68)</f>
        <v/>
      </c>
      <c r="H65" s="12">
        <f>SUBTOTAL(9,H66:H68)</f>
        <v/>
      </c>
      <c r="I65" s="12">
        <f>SUBTOTAL(9,I66:I68)</f>
        <v/>
      </c>
      <c r="J65" s="12">
        <f>SUBTOTAL(9,J66:J68)</f>
        <v/>
      </c>
      <c r="K65" s="12">
        <f>SUBTOTAL(9,K66:K68)</f>
        <v/>
      </c>
      <c r="L65" s="12">
        <f>SUBTOTAL(9,L66:L68)</f>
        <v/>
      </c>
      <c r="M65" s="12">
        <f>SUBTOTAL(9,M66:M68)</f>
        <v/>
      </c>
      <c r="N65" s="12">
        <f>SUBTOTAL(9,N66:N68)</f>
        <v/>
      </c>
      <c r="O65" s="12">
        <f>SUBTOTAL(9,O66:O68)</f>
        <v/>
      </c>
    </row>
    <row r="66" hidden="1" outlineLevel="2">
      <c r="A66" s="13" t="inlineStr">
        <is>
          <t>28.2.01</t>
        </is>
      </c>
      <c r="B66" s="13" t="inlineStr">
        <is>
          <t xml:space="preserve">      Contributi INPS c/azienda</t>
        </is>
      </c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>
        <f>SUM(C66:N66)</f>
        <v/>
      </c>
    </row>
    <row r="67" hidden="1" outlineLevel="2">
      <c r="A67" s="13" t="inlineStr">
        <is>
          <t>28.2.02</t>
        </is>
      </c>
      <c r="B67" s="13" t="inlineStr">
        <is>
          <t xml:space="preserve">      Contributi INAIL</t>
        </is>
      </c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>
        <f>SUM(C67:N67)</f>
        <v/>
      </c>
    </row>
    <row r="68" hidden="1" outlineLevel="2">
      <c r="A68" s="13" t="inlineStr">
        <is>
          <t>28.2.03</t>
        </is>
      </c>
      <c r="B68" s="13" t="inlineStr">
        <is>
          <t xml:space="preserve">      Fondi integrativi ed enti bilaterali</t>
        </is>
      </c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>
        <f>SUM(C68:N68)</f>
        <v/>
      </c>
    </row>
    <row r="69" outlineLevel="1">
      <c r="A69" s="11" t="inlineStr">
        <is>
          <t>C3</t>
        </is>
      </c>
      <c r="B69" s="11" t="inlineStr">
        <is>
          <t xml:space="preserve">   TFR corrisposto</t>
        </is>
      </c>
      <c r="C69" s="12">
        <f>SUBTOTAL(9,C70:C70)</f>
        <v/>
      </c>
      <c r="D69" s="12">
        <f>SUBTOTAL(9,D70:D70)</f>
        <v/>
      </c>
      <c r="E69" s="12">
        <f>SUBTOTAL(9,E70:E70)</f>
        <v/>
      </c>
      <c r="F69" s="12">
        <f>SUBTOTAL(9,F70:F70)</f>
        <v/>
      </c>
      <c r="G69" s="12">
        <f>SUBTOTAL(9,G70:G70)</f>
        <v/>
      </c>
      <c r="H69" s="12">
        <f>SUBTOTAL(9,H70:H70)</f>
        <v/>
      </c>
      <c r="I69" s="12">
        <f>SUBTOTAL(9,I70:I70)</f>
        <v/>
      </c>
      <c r="J69" s="12">
        <f>SUBTOTAL(9,J70:J70)</f>
        <v/>
      </c>
      <c r="K69" s="12">
        <f>SUBTOTAL(9,K70:K70)</f>
        <v/>
      </c>
      <c r="L69" s="12">
        <f>SUBTOTAL(9,L70:L70)</f>
        <v/>
      </c>
      <c r="M69" s="12">
        <f>SUBTOTAL(9,M70:M70)</f>
        <v/>
      </c>
      <c r="N69" s="12">
        <f>SUBTOTAL(9,N70:N70)</f>
        <v/>
      </c>
      <c r="O69" s="12">
        <f>SUBTOTAL(9,O70:O70)</f>
        <v/>
      </c>
    </row>
    <row r="70" hidden="1" outlineLevel="2">
      <c r="A70" s="13" t="inlineStr">
        <is>
          <t>28.3.02</t>
        </is>
      </c>
      <c r="B70" s="13" t="inlineStr">
        <is>
          <t xml:space="preserve">      TFR corrisposto nell'anno</t>
        </is>
      </c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>
        <f>SUM(C70:N70)</f>
        <v/>
      </c>
    </row>
    <row r="71" outlineLevel="1">
      <c r="A71" s="11" t="inlineStr">
        <is>
          <t>C4</t>
        </is>
      </c>
      <c r="B71" s="11" t="inlineStr">
        <is>
          <t xml:space="preserve">   Altri costi del personale</t>
        </is>
      </c>
      <c r="C71" s="12">
        <f>SUBTOTAL(9,C72:C76)</f>
        <v/>
      </c>
      <c r="D71" s="12">
        <f>SUBTOTAL(9,D72:D76)</f>
        <v/>
      </c>
      <c r="E71" s="12">
        <f>SUBTOTAL(9,E72:E76)</f>
        <v/>
      </c>
      <c r="F71" s="12">
        <f>SUBTOTAL(9,F72:F76)</f>
        <v/>
      </c>
      <c r="G71" s="12">
        <f>SUBTOTAL(9,G72:G76)</f>
        <v/>
      </c>
      <c r="H71" s="12">
        <f>SUBTOTAL(9,H72:H76)</f>
        <v/>
      </c>
      <c r="I71" s="12">
        <f>SUBTOTAL(9,I72:I76)</f>
        <v/>
      </c>
      <c r="J71" s="12">
        <f>SUBTOTAL(9,J72:J76)</f>
        <v/>
      </c>
      <c r="K71" s="12">
        <f>SUBTOTAL(9,K72:K76)</f>
        <v/>
      </c>
      <c r="L71" s="12">
        <f>SUBTOTAL(9,L72:L76)</f>
        <v/>
      </c>
      <c r="M71" s="12">
        <f>SUBTOTAL(9,M72:M76)</f>
        <v/>
      </c>
      <c r="N71" s="12">
        <f>SUBTOTAL(9,N72:N76)</f>
        <v/>
      </c>
      <c r="O71" s="12">
        <f>SUBTOTAL(9,O72:O76)</f>
        <v/>
      </c>
    </row>
    <row r="72" hidden="1" outlineLevel="2">
      <c r="A72" s="13" t="inlineStr">
        <is>
          <t>28.4.01</t>
        </is>
      </c>
      <c r="B72" s="13" t="inlineStr">
        <is>
          <t xml:space="preserve">      Rimborsi spese dipendenti</t>
        </is>
      </c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>
        <f>SUM(C72:N72)</f>
        <v/>
      </c>
    </row>
    <row r="73" hidden="1" outlineLevel="2">
      <c r="A73" s="13" t="inlineStr">
        <is>
          <t>28.4.02</t>
        </is>
      </c>
      <c r="B73" s="13" t="inlineStr">
        <is>
          <t xml:space="preserve">      Welfare aziendale e fringe benefit</t>
        </is>
      </c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>
        <f>SUM(C73:N73)</f>
        <v/>
      </c>
    </row>
    <row r="74" hidden="1" outlineLevel="2">
      <c r="A74" s="13" t="inlineStr">
        <is>
          <t>28.4.03</t>
        </is>
      </c>
      <c r="B74" s="13" t="inlineStr">
        <is>
          <t xml:space="preserve">      Buoni pasto, vitto e alloggio</t>
        </is>
      </c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>
        <f>SUM(C74:N74)</f>
        <v/>
      </c>
    </row>
    <row r="75" hidden="1" outlineLevel="2">
      <c r="A75" s="13" t="inlineStr">
        <is>
          <t>28.4.04</t>
        </is>
      </c>
      <c r="B75" s="13" t="inlineStr">
        <is>
          <t xml:space="preserve">      Ricerca, selezione e tirocini</t>
        </is>
      </c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>
        <f>SUM(C75:N75)</f>
        <v/>
      </c>
    </row>
    <row r="76" hidden="1" outlineLevel="2">
      <c r="A76" s="13" t="inlineStr">
        <is>
          <t>28.4.05</t>
        </is>
      </c>
      <c r="B76" s="13" t="inlineStr">
        <is>
          <t xml:space="preserve">      Altri costi per personale dipendente</t>
        </is>
      </c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>
        <f>SUM(C76:N76)</f>
        <v/>
      </c>
    </row>
    <row r="77" outlineLevel="1">
      <c r="A77" s="11" t="inlineStr">
        <is>
          <t>C5</t>
        </is>
      </c>
      <c r="B77" s="11" t="inlineStr">
        <is>
          <t xml:space="preserve">   Organi sociali e collaborazioni</t>
        </is>
      </c>
      <c r="C77" s="12">
        <f>SUBTOTAL(9,C78:C81)</f>
        <v/>
      </c>
      <c r="D77" s="12">
        <f>SUBTOTAL(9,D78:D81)</f>
        <v/>
      </c>
      <c r="E77" s="12">
        <f>SUBTOTAL(9,E78:E81)</f>
        <v/>
      </c>
      <c r="F77" s="12">
        <f>SUBTOTAL(9,F78:F81)</f>
        <v/>
      </c>
      <c r="G77" s="12">
        <f>SUBTOTAL(9,G78:G81)</f>
        <v/>
      </c>
      <c r="H77" s="12">
        <f>SUBTOTAL(9,H78:H81)</f>
        <v/>
      </c>
      <c r="I77" s="12">
        <f>SUBTOTAL(9,I78:I81)</f>
        <v/>
      </c>
      <c r="J77" s="12">
        <f>SUBTOTAL(9,J78:J81)</f>
        <v/>
      </c>
      <c r="K77" s="12">
        <f>SUBTOTAL(9,K78:K81)</f>
        <v/>
      </c>
      <c r="L77" s="12">
        <f>SUBTOTAL(9,L78:L81)</f>
        <v/>
      </c>
      <c r="M77" s="12">
        <f>SUBTOTAL(9,M78:M81)</f>
        <v/>
      </c>
      <c r="N77" s="12">
        <f>SUBTOTAL(9,N78:N81)</f>
        <v/>
      </c>
      <c r="O77" s="12">
        <f>SUBTOTAL(9,O78:O81)</f>
        <v/>
      </c>
    </row>
    <row r="78" hidden="1" outlineLevel="2">
      <c r="A78" s="13" t="inlineStr">
        <is>
          <t>29.01</t>
        </is>
      </c>
      <c r="B78" s="13" t="inlineStr">
        <is>
          <t xml:space="preserve">      Compenso amministratore</t>
        </is>
      </c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>
        <f>SUM(C78:N78)</f>
        <v/>
      </c>
    </row>
    <row r="79" hidden="1" outlineLevel="2">
      <c r="A79" s="13" t="inlineStr">
        <is>
          <t>29.02</t>
        </is>
      </c>
      <c r="B79" s="13" t="inlineStr">
        <is>
          <t xml:space="preserve">      Contributi INPS gestione separata amministratore</t>
        </is>
      </c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>
        <f>SUM(C79:N79)</f>
        <v/>
      </c>
    </row>
    <row r="80" hidden="1" outlineLevel="2">
      <c r="A80" s="13" t="inlineStr">
        <is>
          <t>29.04</t>
        </is>
      </c>
      <c r="B80" s="13" t="inlineStr">
        <is>
          <t xml:space="preserve">      Rimborsi spese amministratore</t>
        </is>
      </c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>
        <f>SUM(C80:N80)</f>
        <v/>
      </c>
    </row>
    <row r="81" hidden="1" outlineLevel="2">
      <c r="A81" s="13" t="inlineStr">
        <is>
          <t>29.05</t>
        </is>
      </c>
      <c r="B81" s="13" t="inlineStr">
        <is>
          <t xml:space="preserve">      Compensi per collaborazioni e prestazioni occasionali</t>
        </is>
      </c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>
        <f>SUM(C81:N81)</f>
        <v/>
      </c>
    </row>
    <row r="83">
      <c r="A83" s="9" t="inlineStr">
        <is>
          <t>D</t>
        </is>
      </c>
      <c r="B83" s="9" t="inlineStr">
        <is>
          <t>COSTI DIRETTI EVENTI</t>
        </is>
      </c>
      <c r="C83" s="10">
        <f>SUBTOTAL(9,C84:C98)</f>
        <v/>
      </c>
      <c r="D83" s="10">
        <f>SUBTOTAL(9,D84:D98)</f>
        <v/>
      </c>
      <c r="E83" s="10">
        <f>SUBTOTAL(9,E84:E98)</f>
        <v/>
      </c>
      <c r="F83" s="10">
        <f>SUBTOTAL(9,F84:F98)</f>
        <v/>
      </c>
      <c r="G83" s="10">
        <f>SUBTOTAL(9,G84:G98)</f>
        <v/>
      </c>
      <c r="H83" s="10">
        <f>SUBTOTAL(9,H84:H98)</f>
        <v/>
      </c>
      <c r="I83" s="10">
        <f>SUBTOTAL(9,I84:I98)</f>
        <v/>
      </c>
      <c r="J83" s="10">
        <f>SUBTOTAL(9,J84:J98)</f>
        <v/>
      </c>
      <c r="K83" s="10">
        <f>SUBTOTAL(9,K84:K98)</f>
        <v/>
      </c>
      <c r="L83" s="10">
        <f>SUBTOTAL(9,L84:L98)</f>
        <v/>
      </c>
      <c r="M83" s="10">
        <f>SUBTOTAL(9,M84:M98)</f>
        <v/>
      </c>
      <c r="N83" s="10">
        <f>SUBTOTAL(9,N84:N98)</f>
        <v/>
      </c>
      <c r="O83" s="10">
        <f>SUBTOTAL(9,O84:O98)</f>
        <v/>
      </c>
    </row>
    <row r="84" outlineLevel="1">
      <c r="A84" s="11" t="inlineStr">
        <is>
          <t>D1</t>
        </is>
      </c>
      <c r="B84" s="11" t="inlineStr">
        <is>
          <t xml:space="preserve">   Artisti e service</t>
        </is>
      </c>
      <c r="C84" s="12">
        <f>SUBTOTAL(9,C85:C86)</f>
        <v/>
      </c>
      <c r="D84" s="12">
        <f>SUBTOTAL(9,D85:D86)</f>
        <v/>
      </c>
      <c r="E84" s="12">
        <f>SUBTOTAL(9,E85:E86)</f>
        <v/>
      </c>
      <c r="F84" s="12">
        <f>SUBTOTAL(9,F85:F86)</f>
        <v/>
      </c>
      <c r="G84" s="12">
        <f>SUBTOTAL(9,G85:G86)</f>
        <v/>
      </c>
      <c r="H84" s="12">
        <f>SUBTOTAL(9,H85:H86)</f>
        <v/>
      </c>
      <c r="I84" s="12">
        <f>SUBTOTAL(9,I85:I86)</f>
        <v/>
      </c>
      <c r="J84" s="12">
        <f>SUBTOTAL(9,J85:J86)</f>
        <v/>
      </c>
      <c r="K84" s="12">
        <f>SUBTOTAL(9,K85:K86)</f>
        <v/>
      </c>
      <c r="L84" s="12">
        <f>SUBTOTAL(9,L85:L86)</f>
        <v/>
      </c>
      <c r="M84" s="12">
        <f>SUBTOTAL(9,M85:M86)</f>
        <v/>
      </c>
      <c r="N84" s="12">
        <f>SUBTOTAL(9,N85:N86)</f>
        <v/>
      </c>
      <c r="O84" s="12">
        <f>SUBTOTAL(9,O85:O86)</f>
        <v/>
      </c>
    </row>
    <row r="85" hidden="1" outlineLevel="2">
      <c r="A85" s="13" t="inlineStr">
        <is>
          <t>26.01</t>
        </is>
      </c>
      <c r="B85" s="13" t="inlineStr">
        <is>
          <t xml:space="preserve">      Artisti, DJ e compensi live</t>
        </is>
      </c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>
        <f>SUM(C85:N85)</f>
        <v/>
      </c>
    </row>
    <row r="86" hidden="1" outlineLevel="2">
      <c r="A86" s="13" t="inlineStr">
        <is>
          <t>26.02</t>
        </is>
      </c>
      <c r="B86" s="13" t="inlineStr">
        <is>
          <t xml:space="preserve">      Service audio-luci e noleggi tecnici</t>
        </is>
      </c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>
        <f>SUM(C86:N86)</f>
        <v/>
      </c>
    </row>
    <row r="87" outlineLevel="1">
      <c r="A87" s="11" t="inlineStr">
        <is>
          <t>D2</t>
        </is>
      </c>
      <c r="B87" s="11" t="inlineStr">
        <is>
          <t xml:space="preserve">   Manodopera evento</t>
        </is>
      </c>
      <c r="C87" s="12">
        <f>SUBTOTAL(9,C88:C90)</f>
        <v/>
      </c>
      <c r="D87" s="12">
        <f>SUBTOTAL(9,D88:D90)</f>
        <v/>
      </c>
      <c r="E87" s="12">
        <f>SUBTOTAL(9,E88:E90)</f>
        <v/>
      </c>
      <c r="F87" s="12">
        <f>SUBTOTAL(9,F88:F90)</f>
        <v/>
      </c>
      <c r="G87" s="12">
        <f>SUBTOTAL(9,G88:G90)</f>
        <v/>
      </c>
      <c r="H87" s="12">
        <f>SUBTOTAL(9,H88:H90)</f>
        <v/>
      </c>
      <c r="I87" s="12">
        <f>SUBTOTAL(9,I88:I90)</f>
        <v/>
      </c>
      <c r="J87" s="12">
        <f>SUBTOTAL(9,J88:J90)</f>
        <v/>
      </c>
      <c r="K87" s="12">
        <f>SUBTOTAL(9,K88:K90)</f>
        <v/>
      </c>
      <c r="L87" s="12">
        <f>SUBTOTAL(9,L88:L90)</f>
        <v/>
      </c>
      <c r="M87" s="12">
        <f>SUBTOTAL(9,M88:M90)</f>
        <v/>
      </c>
      <c r="N87" s="12">
        <f>SUBTOTAL(9,N88:N90)</f>
        <v/>
      </c>
      <c r="O87" s="12">
        <f>SUBTOTAL(9,O88:O90)</f>
        <v/>
      </c>
    </row>
    <row r="88" hidden="1" outlineLevel="2">
      <c r="A88" s="13" t="inlineStr">
        <is>
          <t>26.03</t>
        </is>
      </c>
      <c r="B88" s="13" t="inlineStr">
        <is>
          <t xml:space="preserve">      Personale evento</t>
        </is>
      </c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>
        <f>SUM(C88:N88)</f>
        <v/>
      </c>
    </row>
    <row r="89" hidden="1" outlineLevel="2">
      <c r="A89" s="13" t="inlineStr">
        <is>
          <t>26.05</t>
        </is>
      </c>
      <c r="B89" s="13" t="inlineStr">
        <is>
          <t xml:space="preserve">      Sicurezza e steward evento</t>
        </is>
      </c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>
        <f>SUM(C89:N89)</f>
        <v/>
      </c>
    </row>
    <row r="90" hidden="1" outlineLevel="2">
      <c r="A90" s="13" t="inlineStr">
        <is>
          <t>26.06</t>
        </is>
      </c>
      <c r="B90" s="13" t="inlineStr">
        <is>
          <t xml:space="preserve">      Servizi di pulizia evento</t>
        </is>
      </c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>
        <f>SUM(C90:N90)</f>
        <v/>
      </c>
    </row>
    <row r="91" outlineLevel="1">
      <c r="A91" s="11" t="inlineStr">
        <is>
          <t>D3</t>
        </is>
      </c>
      <c r="B91" s="11" t="inlineStr">
        <is>
          <t xml:space="preserve">   Promozione evento</t>
        </is>
      </c>
      <c r="C91" s="12">
        <f>SUBTOTAL(9,C92:C94)</f>
        <v/>
      </c>
      <c r="D91" s="12">
        <f>SUBTOTAL(9,D92:D94)</f>
        <v/>
      </c>
      <c r="E91" s="12">
        <f>SUBTOTAL(9,E92:E94)</f>
        <v/>
      </c>
      <c r="F91" s="12">
        <f>SUBTOTAL(9,F92:F94)</f>
        <v/>
      </c>
      <c r="G91" s="12">
        <f>SUBTOTAL(9,G92:G94)</f>
        <v/>
      </c>
      <c r="H91" s="12">
        <f>SUBTOTAL(9,H92:H94)</f>
        <v/>
      </c>
      <c r="I91" s="12">
        <f>SUBTOTAL(9,I92:I94)</f>
        <v/>
      </c>
      <c r="J91" s="12">
        <f>SUBTOTAL(9,J92:J94)</f>
        <v/>
      </c>
      <c r="K91" s="12">
        <f>SUBTOTAL(9,K92:K94)</f>
        <v/>
      </c>
      <c r="L91" s="12">
        <f>SUBTOTAL(9,L92:L94)</f>
        <v/>
      </c>
      <c r="M91" s="12">
        <f>SUBTOTAL(9,M92:M94)</f>
        <v/>
      </c>
      <c r="N91" s="12">
        <f>SUBTOTAL(9,N92:N94)</f>
        <v/>
      </c>
      <c r="O91" s="12">
        <f>SUBTOTAL(9,O92:O94)</f>
        <v/>
      </c>
    </row>
    <row r="92" hidden="1" outlineLevel="2">
      <c r="A92" s="13" t="inlineStr">
        <is>
          <t>26.04</t>
        </is>
      </c>
      <c r="B92" s="13" t="inlineStr">
        <is>
          <t xml:space="preserve">      PR e promoter evento</t>
        </is>
      </c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>
        <f>SUM(C92:N92)</f>
        <v/>
      </c>
    </row>
    <row r="93" hidden="1" outlineLevel="2">
      <c r="A93" s="13" t="inlineStr">
        <is>
          <t>26.07</t>
        </is>
      </c>
      <c r="B93" s="13" t="inlineStr">
        <is>
          <t xml:space="preserve">      Advertising e sponsorizzate evento</t>
        </is>
      </c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>
        <f>SUM(C93:N93)</f>
        <v/>
      </c>
    </row>
    <row r="94" hidden="1" outlineLevel="2">
      <c r="A94" s="13" t="inlineStr">
        <is>
          <t>26.08</t>
        </is>
      </c>
      <c r="B94" s="13" t="inlineStr">
        <is>
          <t xml:space="preserve">      Foto e grafiche evento</t>
        </is>
      </c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>
        <f>SUM(C94:N94)</f>
        <v/>
      </c>
    </row>
    <row r="95" outlineLevel="1">
      <c r="A95" s="11" t="inlineStr">
        <is>
          <t>D4</t>
        </is>
      </c>
      <c r="B95" s="11" t="inlineStr">
        <is>
          <t xml:space="preserve">   Oneri e allestimenti evento</t>
        </is>
      </c>
      <c r="C95" s="12">
        <f>SUBTOTAL(9,C96:C98)</f>
        <v/>
      </c>
      <c r="D95" s="12">
        <f>SUBTOTAL(9,D96:D98)</f>
        <v/>
      </c>
      <c r="E95" s="12">
        <f>SUBTOTAL(9,E96:E98)</f>
        <v/>
      </c>
      <c r="F95" s="12">
        <f>SUBTOTAL(9,F96:F98)</f>
        <v/>
      </c>
      <c r="G95" s="12">
        <f>SUBTOTAL(9,G96:G98)</f>
        <v/>
      </c>
      <c r="H95" s="12">
        <f>SUBTOTAL(9,H96:H98)</f>
        <v/>
      </c>
      <c r="I95" s="12">
        <f>SUBTOTAL(9,I96:I98)</f>
        <v/>
      </c>
      <c r="J95" s="12">
        <f>SUBTOTAL(9,J96:J98)</f>
        <v/>
      </c>
      <c r="K95" s="12">
        <f>SUBTOTAL(9,K96:K98)</f>
        <v/>
      </c>
      <c r="L95" s="12">
        <f>SUBTOTAL(9,L96:L98)</f>
        <v/>
      </c>
      <c r="M95" s="12">
        <f>SUBTOTAL(9,M96:M98)</f>
        <v/>
      </c>
      <c r="N95" s="12">
        <f>SUBTOTAL(9,N96:N98)</f>
        <v/>
      </c>
      <c r="O95" s="12">
        <f>SUBTOTAL(9,O96:O98)</f>
        <v/>
      </c>
    </row>
    <row r="96" hidden="1" outlineLevel="2">
      <c r="A96" s="13" t="inlineStr">
        <is>
          <t>26.09</t>
        </is>
      </c>
      <c r="B96" s="13" t="inlineStr">
        <is>
          <t xml:space="preserve">      SIAE, SCF e diritti musicali</t>
        </is>
      </c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>
        <f>SUM(C96:N96)</f>
        <v/>
      </c>
    </row>
    <row r="97" hidden="1" outlineLevel="2">
      <c r="A97" s="13" t="inlineStr">
        <is>
          <t>26.10</t>
        </is>
      </c>
      <c r="B97" s="13" t="inlineStr">
        <is>
          <t xml:space="preserve">      Permessi, autorizzazioni e oneri evento</t>
        </is>
      </c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>
        <f>SUM(C97:N97)</f>
        <v/>
      </c>
    </row>
    <row r="98" hidden="1" outlineLevel="2">
      <c r="A98" s="13" t="inlineStr">
        <is>
          <t>26.11</t>
        </is>
      </c>
      <c r="B98" s="13" t="inlineStr">
        <is>
          <t xml:space="preserve">      Allestimenti e materiali evento</t>
        </is>
      </c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>
        <f>SUM(C98:N98)</f>
        <v/>
      </c>
    </row>
    <row r="100">
      <c r="A100" s="9" t="inlineStr">
        <is>
          <t>E</t>
        </is>
      </c>
      <c r="B100" s="9" t="inlineStr">
        <is>
          <t>COSTI DI STRUTTURA</t>
        </is>
      </c>
      <c r="C100" s="10">
        <f>SUBTOTAL(9,C101:C164)</f>
        <v/>
      </c>
      <c r="D100" s="10">
        <f>SUBTOTAL(9,D101:D164)</f>
        <v/>
      </c>
      <c r="E100" s="10">
        <f>SUBTOTAL(9,E101:E164)</f>
        <v/>
      </c>
      <c r="F100" s="10">
        <f>SUBTOTAL(9,F101:F164)</f>
        <v/>
      </c>
      <c r="G100" s="10">
        <f>SUBTOTAL(9,G101:G164)</f>
        <v/>
      </c>
      <c r="H100" s="10">
        <f>SUBTOTAL(9,H101:H164)</f>
        <v/>
      </c>
      <c r="I100" s="10">
        <f>SUBTOTAL(9,I101:I164)</f>
        <v/>
      </c>
      <c r="J100" s="10">
        <f>SUBTOTAL(9,J101:J164)</f>
        <v/>
      </c>
      <c r="K100" s="10">
        <f>SUBTOTAL(9,K101:K164)</f>
        <v/>
      </c>
      <c r="L100" s="10">
        <f>SUBTOTAL(9,L101:L164)</f>
        <v/>
      </c>
      <c r="M100" s="10">
        <f>SUBTOTAL(9,M101:M164)</f>
        <v/>
      </c>
      <c r="N100" s="10">
        <f>SUBTOTAL(9,N101:N164)</f>
        <v/>
      </c>
      <c r="O100" s="10">
        <f>SUBTOTAL(9,O101:O164)</f>
        <v/>
      </c>
    </row>
    <row r="101" outlineLevel="1">
      <c r="A101" s="11" t="inlineStr">
        <is>
          <t>E1</t>
        </is>
      </c>
      <c r="B101" s="11" t="inlineStr">
        <is>
          <t xml:space="preserve">   Immobili e spazi</t>
        </is>
      </c>
      <c r="C101" s="12">
        <f>SUBTOTAL(9,C102:C104)</f>
        <v/>
      </c>
      <c r="D101" s="12">
        <f>SUBTOTAL(9,D102:D104)</f>
        <v/>
      </c>
      <c r="E101" s="12">
        <f>SUBTOTAL(9,E102:E104)</f>
        <v/>
      </c>
      <c r="F101" s="12">
        <f>SUBTOTAL(9,F102:F104)</f>
        <v/>
      </c>
      <c r="G101" s="12">
        <f>SUBTOTAL(9,G102:G104)</f>
        <v/>
      </c>
      <c r="H101" s="12">
        <f>SUBTOTAL(9,H102:H104)</f>
        <v/>
      </c>
      <c r="I101" s="12">
        <f>SUBTOTAL(9,I102:I104)</f>
        <v/>
      </c>
      <c r="J101" s="12">
        <f>SUBTOTAL(9,J102:J104)</f>
        <v/>
      </c>
      <c r="K101" s="12">
        <f>SUBTOTAL(9,K102:K104)</f>
        <v/>
      </c>
      <c r="L101" s="12">
        <f>SUBTOTAL(9,L102:L104)</f>
        <v/>
      </c>
      <c r="M101" s="12">
        <f>SUBTOTAL(9,M102:M104)</f>
        <v/>
      </c>
      <c r="N101" s="12">
        <f>SUBTOTAL(9,N102:N104)</f>
        <v/>
      </c>
      <c r="O101" s="12">
        <f>SUBTOTAL(9,O102:O104)</f>
        <v/>
      </c>
    </row>
    <row r="102" hidden="1" outlineLevel="2">
      <c r="A102" s="13" t="inlineStr">
        <is>
          <t>27.01</t>
        </is>
      </c>
      <c r="B102" s="13" t="inlineStr">
        <is>
          <t xml:space="preserve">      Affitti e locazioni immobili</t>
        </is>
      </c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>
        <f>SUM(C102:N102)</f>
        <v/>
      </c>
    </row>
    <row r="103" hidden="1" outlineLevel="2">
      <c r="A103" s="13" t="inlineStr">
        <is>
          <t>27.02</t>
        </is>
      </c>
      <c r="B103" s="13" t="inlineStr">
        <is>
          <t xml:space="preserve">      Spese condominiali</t>
        </is>
      </c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>
        <f>SUM(C103:N103)</f>
        <v/>
      </c>
    </row>
    <row r="104" hidden="1" outlineLevel="2">
      <c r="A104" s="13" t="inlineStr">
        <is>
          <t>27.03</t>
        </is>
      </c>
      <c r="B104" s="13" t="inlineStr">
        <is>
          <t xml:space="preserve">      Canoni concessori e demaniali</t>
        </is>
      </c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>
        <f>SUM(C104:N104)</f>
        <v/>
      </c>
    </row>
    <row r="105" outlineLevel="1">
      <c r="A105" s="11" t="inlineStr">
        <is>
          <t>E2</t>
        </is>
      </c>
      <c r="B105" s="11" t="inlineStr">
        <is>
          <t xml:space="preserve">   Utenze</t>
        </is>
      </c>
      <c r="C105" s="12">
        <f>SUBTOTAL(9,C106:C111)</f>
        <v/>
      </c>
      <c r="D105" s="12">
        <f>SUBTOTAL(9,D106:D111)</f>
        <v/>
      </c>
      <c r="E105" s="12">
        <f>SUBTOTAL(9,E106:E111)</f>
        <v/>
      </c>
      <c r="F105" s="12">
        <f>SUBTOTAL(9,F106:F111)</f>
        <v/>
      </c>
      <c r="G105" s="12">
        <f>SUBTOTAL(9,G106:G111)</f>
        <v/>
      </c>
      <c r="H105" s="12">
        <f>SUBTOTAL(9,H106:H111)</f>
        <v/>
      </c>
      <c r="I105" s="12">
        <f>SUBTOTAL(9,I106:I111)</f>
        <v/>
      </c>
      <c r="J105" s="12">
        <f>SUBTOTAL(9,J106:J111)</f>
        <v/>
      </c>
      <c r="K105" s="12">
        <f>SUBTOTAL(9,K106:K111)</f>
        <v/>
      </c>
      <c r="L105" s="12">
        <f>SUBTOTAL(9,L106:L111)</f>
        <v/>
      </c>
      <c r="M105" s="12">
        <f>SUBTOTAL(9,M106:M111)</f>
        <v/>
      </c>
      <c r="N105" s="12">
        <f>SUBTOTAL(9,N106:N111)</f>
        <v/>
      </c>
      <c r="O105" s="12">
        <f>SUBTOTAL(9,O106:O111)</f>
        <v/>
      </c>
    </row>
    <row r="106" hidden="1" outlineLevel="2">
      <c r="A106" s="13" t="inlineStr">
        <is>
          <t>22.01</t>
        </is>
      </c>
      <c r="B106" s="13" t="inlineStr">
        <is>
          <t xml:space="preserve">      Energia elettrica</t>
        </is>
      </c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>
        <f>SUM(C106:N106)</f>
        <v/>
      </c>
    </row>
    <row r="107" hidden="1" outlineLevel="2">
      <c r="A107" s="13" t="inlineStr">
        <is>
          <t>22.02</t>
        </is>
      </c>
      <c r="B107" s="13" t="inlineStr">
        <is>
          <t xml:space="preserve">      Gas da rete (metano)</t>
        </is>
      </c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>
        <f>SUM(C107:N107)</f>
        <v/>
      </c>
    </row>
    <row r="108" hidden="1" outlineLevel="2">
      <c r="A108" s="13" t="inlineStr">
        <is>
          <t>22.03</t>
        </is>
      </c>
      <c r="B108" s="13" t="inlineStr">
        <is>
          <t xml:space="preserve">      Acqua</t>
        </is>
      </c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>
        <f>SUM(C108:N108)</f>
        <v/>
      </c>
    </row>
    <row r="109" hidden="1" outlineLevel="2">
      <c r="A109" s="13" t="inlineStr">
        <is>
          <t>22.04</t>
        </is>
      </c>
      <c r="B109" s="13" t="inlineStr">
        <is>
          <t xml:space="preserve">      Telefonia e connettività</t>
        </is>
      </c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>
        <f>SUM(C109:N109)</f>
        <v/>
      </c>
    </row>
    <row r="110" hidden="1" outlineLevel="2">
      <c r="A110" s="13" t="inlineStr">
        <is>
          <t>22.05</t>
        </is>
      </c>
      <c r="B110" s="13" t="inlineStr">
        <is>
          <t xml:space="preserve">      Rifiuti - TARI e servizio smaltimento</t>
        </is>
      </c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>
        <f>SUM(C110:N110)</f>
        <v/>
      </c>
    </row>
    <row r="111" hidden="1" outlineLevel="2">
      <c r="A111" s="13" t="inlineStr">
        <is>
          <t>22.07</t>
        </is>
      </c>
      <c r="B111" s="13" t="inlineStr">
        <is>
          <t xml:space="preserve">      Bombole di gas (GPL)</t>
        </is>
      </c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>
        <f>SUM(C111:N111)</f>
        <v/>
      </c>
    </row>
    <row r="112" outlineLevel="1">
      <c r="A112" s="11" t="inlineStr">
        <is>
          <t>E3</t>
        </is>
      </c>
      <c r="B112" s="11" t="inlineStr">
        <is>
          <t xml:space="preserve">   Noleggi, leasing e licenze</t>
        </is>
      </c>
      <c r="C112" s="12">
        <f>SUBTOTAL(9,C113:C117)</f>
        <v/>
      </c>
      <c r="D112" s="12">
        <f>SUBTOTAL(9,D113:D117)</f>
        <v/>
      </c>
      <c r="E112" s="12">
        <f>SUBTOTAL(9,E113:E117)</f>
        <v/>
      </c>
      <c r="F112" s="12">
        <f>SUBTOTAL(9,F113:F117)</f>
        <v/>
      </c>
      <c r="G112" s="12">
        <f>SUBTOTAL(9,G113:G117)</f>
        <v/>
      </c>
      <c r="H112" s="12">
        <f>SUBTOTAL(9,H113:H117)</f>
        <v/>
      </c>
      <c r="I112" s="12">
        <f>SUBTOTAL(9,I113:I117)</f>
        <v/>
      </c>
      <c r="J112" s="12">
        <f>SUBTOTAL(9,J113:J117)</f>
        <v/>
      </c>
      <c r="K112" s="12">
        <f>SUBTOTAL(9,K113:K117)</f>
        <v/>
      </c>
      <c r="L112" s="12">
        <f>SUBTOTAL(9,L113:L117)</f>
        <v/>
      </c>
      <c r="M112" s="12">
        <f>SUBTOTAL(9,M113:M117)</f>
        <v/>
      </c>
      <c r="N112" s="12">
        <f>SUBTOTAL(9,N113:N117)</f>
        <v/>
      </c>
      <c r="O112" s="12">
        <f>SUBTOTAL(9,O113:O117)</f>
        <v/>
      </c>
    </row>
    <row r="113" hidden="1" outlineLevel="2">
      <c r="A113" s="13" t="inlineStr">
        <is>
          <t>27.04</t>
        </is>
      </c>
      <c r="B113" s="13" t="inlineStr">
        <is>
          <t xml:space="preserve">      Noleggio attrezzature</t>
        </is>
      </c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>
        <f>SUM(C113:N113)</f>
        <v/>
      </c>
    </row>
    <row r="114" hidden="1" outlineLevel="2">
      <c r="A114" s="13" t="inlineStr">
        <is>
          <t>27.05</t>
        </is>
      </c>
      <c r="B114" s="13" t="inlineStr">
        <is>
          <t xml:space="preserve">      Noleggio automezzi</t>
        </is>
      </c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>
        <f>SUM(C114:N114)</f>
        <v/>
      </c>
    </row>
    <row r="115" hidden="1" outlineLevel="2">
      <c r="A115" s="13" t="inlineStr">
        <is>
          <t>27.06</t>
        </is>
      </c>
      <c r="B115" s="13" t="inlineStr">
        <is>
          <t xml:space="preserve">      Canoni di leasing</t>
        </is>
      </c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>
        <f>SUM(C115:N115)</f>
        <v/>
      </c>
    </row>
    <row r="116" hidden="1" outlineLevel="2">
      <c r="A116" s="13" t="inlineStr">
        <is>
          <t>27.07</t>
        </is>
      </c>
      <c r="B116" s="13" t="inlineStr">
        <is>
          <t xml:space="preserve">      Licenze software e canoni SaaS (POS, gestionale)</t>
        </is>
      </c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>
        <f>SUM(C116:N116)</f>
        <v/>
      </c>
    </row>
    <row r="117" hidden="1" outlineLevel="2">
      <c r="A117" s="13" t="inlineStr">
        <is>
          <t>27.08</t>
        </is>
      </c>
      <c r="B117" s="13" t="inlineStr">
        <is>
          <t xml:space="preserve">      Royalties e diritti d'uso marchio</t>
        </is>
      </c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>
        <f>SUM(C117:N117)</f>
        <v/>
      </c>
    </row>
    <row r="118" outlineLevel="1">
      <c r="A118" s="11" t="inlineStr">
        <is>
          <t>E4</t>
        </is>
      </c>
      <c r="B118" s="11" t="inlineStr">
        <is>
          <t xml:space="preserve">   Manutenzioni e servizi operativi</t>
        </is>
      </c>
      <c r="C118" s="12">
        <f>SUBTOTAL(9,C119:C123)</f>
        <v/>
      </c>
      <c r="D118" s="12">
        <f>SUBTOTAL(9,D119:D123)</f>
        <v/>
      </c>
      <c r="E118" s="12">
        <f>SUBTOTAL(9,E119:E123)</f>
        <v/>
      </c>
      <c r="F118" s="12">
        <f>SUBTOTAL(9,F119:F123)</f>
        <v/>
      </c>
      <c r="G118" s="12">
        <f>SUBTOTAL(9,G119:G123)</f>
        <v/>
      </c>
      <c r="H118" s="12">
        <f>SUBTOTAL(9,H119:H123)</f>
        <v/>
      </c>
      <c r="I118" s="12">
        <f>SUBTOTAL(9,I119:I123)</f>
        <v/>
      </c>
      <c r="J118" s="12">
        <f>SUBTOTAL(9,J119:J123)</f>
        <v/>
      </c>
      <c r="K118" s="12">
        <f>SUBTOTAL(9,K119:K123)</f>
        <v/>
      </c>
      <c r="L118" s="12">
        <f>SUBTOTAL(9,L119:L123)</f>
        <v/>
      </c>
      <c r="M118" s="12">
        <f>SUBTOTAL(9,M119:M123)</f>
        <v/>
      </c>
      <c r="N118" s="12">
        <f>SUBTOTAL(9,N119:N123)</f>
        <v/>
      </c>
      <c r="O118" s="12">
        <f>SUBTOTAL(9,O119:O123)</f>
        <v/>
      </c>
    </row>
    <row r="119" hidden="1" outlineLevel="2">
      <c r="A119" s="13" t="inlineStr">
        <is>
          <t>23.01</t>
        </is>
      </c>
      <c r="B119" s="13" t="inlineStr">
        <is>
          <t xml:space="preserve">      Manutenzioni e riparazioni</t>
        </is>
      </c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>
        <f>SUM(C119:N119)</f>
        <v/>
      </c>
    </row>
    <row r="120" hidden="1" outlineLevel="2">
      <c r="A120" s="13" t="inlineStr">
        <is>
          <t>23.02</t>
        </is>
      </c>
      <c r="B120" s="13" t="inlineStr">
        <is>
          <t xml:space="preserve">      Contratti di manutenzione a canone</t>
        </is>
      </c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>
        <f>SUM(C120:N120)</f>
        <v/>
      </c>
    </row>
    <row r="121" hidden="1" outlineLevel="2">
      <c r="A121" s="13" t="inlineStr">
        <is>
          <t>23.03</t>
        </is>
      </c>
      <c r="B121" s="13" t="inlineStr">
        <is>
          <t xml:space="preserve">      Servizi di pulizia esterni</t>
        </is>
      </c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>
        <f>SUM(C121:N121)</f>
        <v/>
      </c>
    </row>
    <row r="122" hidden="1" outlineLevel="2">
      <c r="A122" s="13" t="inlineStr">
        <is>
          <t>23.05</t>
        </is>
      </c>
      <c r="B122" s="13" t="inlineStr">
        <is>
          <t xml:space="preserve">      Vigilanza e servizi di sicurezza</t>
        </is>
      </c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>
        <f>SUM(C122:N122)</f>
        <v/>
      </c>
    </row>
    <row r="123" hidden="1" outlineLevel="2">
      <c r="A123" s="13" t="inlineStr">
        <is>
          <t>23.07</t>
        </is>
      </c>
      <c r="B123" s="13" t="inlineStr">
        <is>
          <t xml:space="preserve">      Disinfestazione e derattizzazione</t>
        </is>
      </c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>
        <f>SUM(C123:N123)</f>
        <v/>
      </c>
    </row>
    <row r="124" outlineLevel="1">
      <c r="A124" s="11" t="inlineStr">
        <is>
          <t>E5</t>
        </is>
      </c>
      <c r="B124" s="11" t="inlineStr">
        <is>
          <t xml:space="preserve">   Attrezzatura e allestimenti</t>
        </is>
      </c>
      <c r="C124" s="12">
        <f>SUBTOTAL(9,C125:C131)</f>
        <v/>
      </c>
      <c r="D124" s="12">
        <f>SUBTOTAL(9,D125:D131)</f>
        <v/>
      </c>
      <c r="E124" s="12">
        <f>SUBTOTAL(9,E125:E131)</f>
        <v/>
      </c>
      <c r="F124" s="12">
        <f>SUBTOTAL(9,F125:F131)</f>
        <v/>
      </c>
      <c r="G124" s="12">
        <f>SUBTOTAL(9,G125:G131)</f>
        <v/>
      </c>
      <c r="H124" s="12">
        <f>SUBTOTAL(9,H125:H131)</f>
        <v/>
      </c>
      <c r="I124" s="12">
        <f>SUBTOTAL(9,I125:I131)</f>
        <v/>
      </c>
      <c r="J124" s="12">
        <f>SUBTOTAL(9,J125:J131)</f>
        <v/>
      </c>
      <c r="K124" s="12">
        <f>SUBTOTAL(9,K125:K131)</f>
        <v/>
      </c>
      <c r="L124" s="12">
        <f>SUBTOTAL(9,L125:L131)</f>
        <v/>
      </c>
      <c r="M124" s="12">
        <f>SUBTOTAL(9,M125:M131)</f>
        <v/>
      </c>
      <c r="N124" s="12">
        <f>SUBTOTAL(9,N125:N131)</f>
        <v/>
      </c>
      <c r="O124" s="12">
        <f>SUBTOTAL(9,O125:O131)</f>
        <v/>
      </c>
    </row>
    <row r="125" hidden="1" outlineLevel="2">
      <c r="A125" s="13" t="inlineStr">
        <is>
          <t>21.01</t>
        </is>
      </c>
      <c r="B125" s="13" t="inlineStr">
        <is>
          <t xml:space="preserve">      Vetreria e attrezzatura bar</t>
        </is>
      </c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>
        <f>SUM(C125:N125)</f>
        <v/>
      </c>
    </row>
    <row r="126" hidden="1" outlineLevel="2">
      <c r="A126" s="13" t="inlineStr">
        <is>
          <t>21.02</t>
        </is>
      </c>
      <c r="B126" s="13" t="inlineStr">
        <is>
          <t xml:space="preserve">      Stoviglie, posateria e complementi sala</t>
        </is>
      </c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>
        <f>SUM(C126:N126)</f>
        <v/>
      </c>
    </row>
    <row r="127" hidden="1" outlineLevel="2">
      <c r="A127" s="13" t="inlineStr">
        <is>
          <t>21.03</t>
        </is>
      </c>
      <c r="B127" s="13" t="inlineStr">
        <is>
          <t xml:space="preserve">      Piccola attrezzatura cucina</t>
        </is>
      </c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>
        <f>SUM(C127:N127)</f>
        <v/>
      </c>
    </row>
    <row r="128" hidden="1" outlineLevel="2">
      <c r="A128" s="13" t="inlineStr">
        <is>
          <t>21.04</t>
        </is>
      </c>
      <c r="B128" s="13" t="inlineStr">
        <is>
          <t xml:space="preserve">      Beni strumentali &lt; 516,46 EUR</t>
        </is>
      </c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>
        <f>SUM(C128:N128)</f>
        <v/>
      </c>
    </row>
    <row r="129" hidden="1" outlineLevel="2">
      <c r="A129" s="13" t="inlineStr">
        <is>
          <t>21.05</t>
        </is>
      </c>
      <c r="B129" s="13" t="inlineStr">
        <is>
          <t xml:space="preserve">      Arredi e complementi minuti</t>
        </is>
      </c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>
        <f>SUM(C129:N129)</f>
        <v/>
      </c>
    </row>
    <row r="130" hidden="1" outlineLevel="2">
      <c r="A130" s="13" t="inlineStr">
        <is>
          <t>21.06</t>
        </is>
      </c>
      <c r="B130" s="13" t="inlineStr">
        <is>
          <t xml:space="preserve">      Divise e abbigliamento personale</t>
        </is>
      </c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>
        <f>SUM(C130:N130)</f>
        <v/>
      </c>
    </row>
    <row r="131" hidden="1" outlineLevel="2">
      <c r="A131" s="13" t="inlineStr">
        <is>
          <t>21.07</t>
        </is>
      </c>
      <c r="B131" s="13" t="inlineStr">
        <is>
          <t xml:space="preserve">      Allestimenti, fiori e decorazioni locale</t>
        </is>
      </c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>
        <f>SUM(C131:N131)</f>
        <v/>
      </c>
    </row>
    <row r="132" outlineLevel="1">
      <c r="A132" s="11" t="inlineStr">
        <is>
          <t>E6</t>
        </is>
      </c>
      <c r="B132" s="11" t="inlineStr">
        <is>
          <t xml:space="preserve">   Servizi professionali e amministrativi</t>
        </is>
      </c>
      <c r="C132" s="12">
        <f>SUBTOTAL(9,C133:C141)</f>
        <v/>
      </c>
      <c r="D132" s="12">
        <f>SUBTOTAL(9,D133:D141)</f>
        <v/>
      </c>
      <c r="E132" s="12">
        <f>SUBTOTAL(9,E133:E141)</f>
        <v/>
      </c>
      <c r="F132" s="12">
        <f>SUBTOTAL(9,F133:F141)</f>
        <v/>
      </c>
      <c r="G132" s="12">
        <f>SUBTOTAL(9,G133:G141)</f>
        <v/>
      </c>
      <c r="H132" s="12">
        <f>SUBTOTAL(9,H133:H141)</f>
        <v/>
      </c>
      <c r="I132" s="12">
        <f>SUBTOTAL(9,I133:I141)</f>
        <v/>
      </c>
      <c r="J132" s="12">
        <f>SUBTOTAL(9,J133:J141)</f>
        <v/>
      </c>
      <c r="K132" s="12">
        <f>SUBTOTAL(9,K133:K141)</f>
        <v/>
      </c>
      <c r="L132" s="12">
        <f>SUBTOTAL(9,L133:L141)</f>
        <v/>
      </c>
      <c r="M132" s="12">
        <f>SUBTOTAL(9,M133:M141)</f>
        <v/>
      </c>
      <c r="N132" s="12">
        <f>SUBTOTAL(9,N133:N141)</f>
        <v/>
      </c>
      <c r="O132" s="12">
        <f>SUBTOTAL(9,O133:O141)</f>
        <v/>
      </c>
    </row>
    <row r="133" hidden="1" outlineLevel="2">
      <c r="A133" s="13" t="inlineStr">
        <is>
          <t>24.01</t>
        </is>
      </c>
      <c r="B133" s="13" t="inlineStr">
        <is>
          <t xml:space="preserve">      Consulenza contabile, fiscale e dichiarazioni</t>
        </is>
      </c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>
        <f>SUM(C133:N133)</f>
        <v/>
      </c>
    </row>
    <row r="134" hidden="1" outlineLevel="2">
      <c r="A134" s="13" t="inlineStr">
        <is>
          <t>24.02</t>
        </is>
      </c>
      <c r="B134" s="13" t="inlineStr">
        <is>
          <t xml:space="preserve">      Servizi elaborazione paghe</t>
        </is>
      </c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>
        <f>SUM(C134:N134)</f>
        <v/>
      </c>
    </row>
    <row r="135" hidden="1" outlineLevel="2">
      <c r="A135" s="13" t="inlineStr">
        <is>
          <t>24.03</t>
        </is>
      </c>
      <c r="B135" s="13" t="inlineStr">
        <is>
          <t xml:space="preserve">      Consulenze legali</t>
        </is>
      </c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>
        <f>SUM(C135:N135)</f>
        <v/>
      </c>
    </row>
    <row r="136" hidden="1" outlineLevel="2">
      <c r="A136" s="13" t="inlineStr">
        <is>
          <t>24.04</t>
        </is>
      </c>
      <c r="B136" s="13" t="inlineStr">
        <is>
          <t xml:space="preserve">      Consulenze tecniche e progettazione</t>
        </is>
      </c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>
        <f>SUM(C136:N136)</f>
        <v/>
      </c>
    </row>
    <row r="137" hidden="1" outlineLevel="2">
      <c r="A137" s="13" t="inlineStr">
        <is>
          <t>24.05</t>
        </is>
      </c>
      <c r="B137" s="13" t="inlineStr">
        <is>
          <t xml:space="preserve">      Consulenza del lavoro e sicurezza (D.Lgs. 81/08)</t>
        </is>
      </c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>
        <f>SUM(C137:N137)</f>
        <v/>
      </c>
    </row>
    <row r="138" hidden="1" outlineLevel="2">
      <c r="A138" s="13" t="inlineStr">
        <is>
          <t>24.06</t>
        </is>
      </c>
      <c r="B138" s="13" t="inlineStr">
        <is>
          <t xml:space="preserve">      Medico competente e sorveglianza sanitaria</t>
        </is>
      </c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>
        <f>SUM(C138:N138)</f>
        <v/>
      </c>
    </row>
    <row r="139" hidden="1" outlineLevel="2">
      <c r="A139" s="13" t="inlineStr">
        <is>
          <t>24.07</t>
        </is>
      </c>
      <c r="B139" s="13" t="inlineStr">
        <is>
          <t xml:space="preserve">      Formazione, HACCP e certificazioni</t>
        </is>
      </c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>
        <f>SUM(C139:N139)</f>
        <v/>
      </c>
    </row>
    <row r="140" hidden="1" outlineLevel="2">
      <c r="A140" s="13" t="inlineStr">
        <is>
          <t>24.08</t>
        </is>
      </c>
      <c r="B140" s="13" t="inlineStr">
        <is>
          <t xml:space="preserve">      Spese notarili e camerali</t>
        </is>
      </c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>
        <f>SUM(C140:N140)</f>
        <v/>
      </c>
    </row>
    <row r="141" hidden="1" outlineLevel="2">
      <c r="A141" s="13" t="inlineStr">
        <is>
          <t>24.09</t>
        </is>
      </c>
      <c r="B141" s="13" t="inlineStr">
        <is>
          <t xml:space="preserve">      Cancelleria e stampati</t>
        </is>
      </c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>
        <f>SUM(C141:N141)</f>
        <v/>
      </c>
    </row>
    <row r="142" outlineLevel="1">
      <c r="A142" s="11" t="inlineStr">
        <is>
          <t>E7</t>
        </is>
      </c>
      <c r="B142" s="11" t="inlineStr">
        <is>
          <t xml:space="preserve">   Marketing e comunicazione</t>
        </is>
      </c>
      <c r="C142" s="12">
        <f>SUBTOTAL(9,C143:C150)</f>
        <v/>
      </c>
      <c r="D142" s="12">
        <f>SUBTOTAL(9,D143:D150)</f>
        <v/>
      </c>
      <c r="E142" s="12">
        <f>SUBTOTAL(9,E143:E150)</f>
        <v/>
      </c>
      <c r="F142" s="12">
        <f>SUBTOTAL(9,F143:F150)</f>
        <v/>
      </c>
      <c r="G142" s="12">
        <f>SUBTOTAL(9,G143:G150)</f>
        <v/>
      </c>
      <c r="H142" s="12">
        <f>SUBTOTAL(9,H143:H150)</f>
        <v/>
      </c>
      <c r="I142" s="12">
        <f>SUBTOTAL(9,I143:I150)</f>
        <v/>
      </c>
      <c r="J142" s="12">
        <f>SUBTOTAL(9,J143:J150)</f>
        <v/>
      </c>
      <c r="K142" s="12">
        <f>SUBTOTAL(9,K143:K150)</f>
        <v/>
      </c>
      <c r="L142" s="12">
        <f>SUBTOTAL(9,L143:L150)</f>
        <v/>
      </c>
      <c r="M142" s="12">
        <f>SUBTOTAL(9,M143:M150)</f>
        <v/>
      </c>
      <c r="N142" s="12">
        <f>SUBTOTAL(9,N143:N150)</f>
        <v/>
      </c>
      <c r="O142" s="12">
        <f>SUBTOTAL(9,O143:O150)</f>
        <v/>
      </c>
    </row>
    <row r="143" hidden="1" outlineLevel="2">
      <c r="A143" s="13" t="inlineStr">
        <is>
          <t>25.01</t>
        </is>
      </c>
      <c r="B143" s="13" t="inlineStr">
        <is>
          <t xml:space="preserve">      Advertising online e sponsorizzate</t>
        </is>
      </c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>
        <f>SUM(C143:N143)</f>
        <v/>
      </c>
    </row>
    <row r="144" hidden="1" outlineLevel="2">
      <c r="A144" s="13" t="inlineStr">
        <is>
          <t>25.02</t>
        </is>
      </c>
      <c r="B144" s="13" t="inlineStr">
        <is>
          <t xml:space="preserve">      Servizi fotografici e video</t>
        </is>
      </c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>
        <f>SUM(C144:N144)</f>
        <v/>
      </c>
    </row>
    <row r="145" hidden="1" outlineLevel="2">
      <c r="A145" s="13" t="inlineStr">
        <is>
          <t>25.03</t>
        </is>
      </c>
      <c r="B145" s="13" t="inlineStr">
        <is>
          <t xml:space="preserve">      Grafica e design</t>
        </is>
      </c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>
        <f>SUM(C145:N145)</f>
        <v/>
      </c>
    </row>
    <row r="146" hidden="1" outlineLevel="2">
      <c r="A146" s="13" t="inlineStr">
        <is>
          <t>25.04</t>
        </is>
      </c>
      <c r="B146" s="13" t="inlineStr">
        <is>
          <t xml:space="preserve">      Social media management</t>
        </is>
      </c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>
        <f>SUM(C146:N146)</f>
        <v/>
      </c>
    </row>
    <row r="147" hidden="1" outlineLevel="2">
      <c r="A147" s="13" t="inlineStr">
        <is>
          <t>25.05</t>
        </is>
      </c>
      <c r="B147" s="13" t="inlineStr">
        <is>
          <t xml:space="preserve">      Stampati, menu e materiale promozionale</t>
        </is>
      </c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>
        <f>SUM(C147:N147)</f>
        <v/>
      </c>
    </row>
    <row r="148" hidden="1" outlineLevel="2">
      <c r="A148" s="13" t="inlineStr">
        <is>
          <t>25.06</t>
        </is>
      </c>
      <c r="B148" s="13" t="inlineStr">
        <is>
          <t xml:space="preserve">      Sito web, domini e hosting</t>
        </is>
      </c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>
        <f>SUM(C148:N148)</f>
        <v/>
      </c>
    </row>
    <row r="149" hidden="1" outlineLevel="2">
      <c r="A149" s="13" t="inlineStr">
        <is>
          <t>25.07</t>
        </is>
      </c>
      <c r="B149" s="13" t="inlineStr">
        <is>
          <t xml:space="preserve">      Pubbliche relazioni e attività PR</t>
        </is>
      </c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>
        <f>SUM(C149:N149)</f>
        <v/>
      </c>
    </row>
    <row r="150" hidden="1" outlineLevel="2">
      <c r="A150" s="13" t="inlineStr">
        <is>
          <t>25.08</t>
        </is>
      </c>
      <c r="B150" s="13" t="inlineStr">
        <is>
          <t xml:space="preserve">      Sponsorizzazioni passive e contributi a terzi</t>
        </is>
      </c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>
        <f>SUM(C150:N150)</f>
        <v/>
      </c>
    </row>
    <row r="151" outlineLevel="1">
      <c r="A151" s="11" t="inlineStr">
        <is>
          <t>E8</t>
        </is>
      </c>
      <c r="B151" s="11" t="inlineStr">
        <is>
          <t xml:space="preserve">   Tributi, assicurazioni e oneri diversi</t>
        </is>
      </c>
      <c r="C151" s="12">
        <f>SUBTOTAL(9,C152:C164)</f>
        <v/>
      </c>
      <c r="D151" s="12">
        <f>SUBTOTAL(9,D152:D164)</f>
        <v/>
      </c>
      <c r="E151" s="12">
        <f>SUBTOTAL(9,E152:E164)</f>
        <v/>
      </c>
      <c r="F151" s="12">
        <f>SUBTOTAL(9,F152:F164)</f>
        <v/>
      </c>
      <c r="G151" s="12">
        <f>SUBTOTAL(9,G152:G164)</f>
        <v/>
      </c>
      <c r="H151" s="12">
        <f>SUBTOTAL(9,H152:H164)</f>
        <v/>
      </c>
      <c r="I151" s="12">
        <f>SUBTOTAL(9,I152:I164)</f>
        <v/>
      </c>
      <c r="J151" s="12">
        <f>SUBTOTAL(9,J152:J164)</f>
        <v/>
      </c>
      <c r="K151" s="12">
        <f>SUBTOTAL(9,K152:K164)</f>
        <v/>
      </c>
      <c r="L151" s="12">
        <f>SUBTOTAL(9,L152:L164)</f>
        <v/>
      </c>
      <c r="M151" s="12">
        <f>SUBTOTAL(9,M152:M164)</f>
        <v/>
      </c>
      <c r="N151" s="12">
        <f>SUBTOTAL(9,N152:N164)</f>
        <v/>
      </c>
      <c r="O151" s="12">
        <f>SUBTOTAL(9,O152:O164)</f>
        <v/>
      </c>
    </row>
    <row r="152" hidden="1" outlineLevel="2">
      <c r="A152" s="13" t="inlineStr">
        <is>
          <t>30.01</t>
        </is>
      </c>
      <c r="B152" s="13" t="inlineStr">
        <is>
          <t xml:space="preserve">      Imposta di bollo</t>
        </is>
      </c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>
        <f>SUM(C152:N152)</f>
        <v/>
      </c>
    </row>
    <row r="153" hidden="1" outlineLevel="2">
      <c r="A153" s="13" t="inlineStr">
        <is>
          <t>30.02</t>
        </is>
      </c>
      <c r="B153" s="13" t="inlineStr">
        <is>
          <t xml:space="preserve">      Tassa annuale vidimazione libri sociali</t>
        </is>
      </c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>
        <f>SUM(C153:N153)</f>
        <v/>
      </c>
    </row>
    <row r="154" hidden="1" outlineLevel="2">
      <c r="A154" s="13" t="inlineStr">
        <is>
          <t>30.03</t>
        </is>
      </c>
      <c r="B154" s="13" t="inlineStr">
        <is>
          <t xml:space="preserve">      Diritti camerali, catastali e vari</t>
        </is>
      </c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>
        <f>SUM(C154:N154)</f>
        <v/>
      </c>
    </row>
    <row r="155" hidden="1" outlineLevel="2">
      <c r="A155" s="13" t="inlineStr">
        <is>
          <t>30.04</t>
        </is>
      </c>
      <c r="B155" s="13" t="inlineStr">
        <is>
          <t xml:space="preserve">      Imposte comunali sugli immobili (IMU / ILIA)</t>
        </is>
      </c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>
        <f>SUM(C155:N155)</f>
        <v/>
      </c>
    </row>
    <row r="156" hidden="1" outlineLevel="2">
      <c r="A156" s="13" t="inlineStr">
        <is>
          <t>30.05</t>
        </is>
      </c>
      <c r="B156" s="13" t="inlineStr">
        <is>
          <t xml:space="preserve">      Occupazione suolo pubblico (COSAP / CUP)</t>
        </is>
      </c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>
        <f>SUM(C156:N156)</f>
        <v/>
      </c>
    </row>
    <row r="157" hidden="1" outlineLevel="2">
      <c r="A157" s="13" t="inlineStr">
        <is>
          <t>30.06</t>
        </is>
      </c>
      <c r="B157" s="13" t="inlineStr">
        <is>
          <t xml:space="preserve">      Abbonamenti, riviste e pubblicazioni</t>
        </is>
      </c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>
        <f>SUM(C157:N157)</f>
        <v/>
      </c>
    </row>
    <row r="158" hidden="1" outlineLevel="2">
      <c r="A158" s="13" t="inlineStr">
        <is>
          <t>30.07</t>
        </is>
      </c>
      <c r="B158" s="13" t="inlineStr">
        <is>
          <t xml:space="preserve">      Quote associative di categoria</t>
        </is>
      </c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>
        <f>SUM(C158:N158)</f>
        <v/>
      </c>
    </row>
    <row r="159" hidden="1" outlineLevel="2">
      <c r="A159" s="13" t="inlineStr">
        <is>
          <t>30.08</t>
        </is>
      </c>
      <c r="B159" s="13" t="inlineStr">
        <is>
          <t xml:space="preserve">      Assicurazioni</t>
        </is>
      </c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>
        <f>SUM(C159:N159)</f>
        <v/>
      </c>
    </row>
    <row r="160" hidden="1" outlineLevel="2">
      <c r="A160" s="13" t="inlineStr">
        <is>
          <t>30.09</t>
        </is>
      </c>
      <c r="B160" s="13" t="inlineStr">
        <is>
          <t xml:space="preserve">      Sanzioni tributarie, previdenziali e penalità</t>
        </is>
      </c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>
        <f>SUM(C160:N160)</f>
        <v/>
      </c>
    </row>
    <row r="161" hidden="1" outlineLevel="2">
      <c r="A161" s="13" t="inlineStr">
        <is>
          <t>30.10</t>
        </is>
      </c>
      <c r="B161" s="13" t="inlineStr">
        <is>
          <t xml:space="preserve">      Sopravvenienze passive</t>
        </is>
      </c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>
        <f>SUM(C161:N161)</f>
        <v/>
      </c>
    </row>
    <row r="162" hidden="1" outlineLevel="2">
      <c r="A162" s="13" t="inlineStr">
        <is>
          <t>30.13</t>
        </is>
      </c>
      <c r="B162" s="13" t="inlineStr">
        <is>
          <t xml:space="preserve">      Altri oneri di gestione</t>
        </is>
      </c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>
        <f>SUM(C162:N162)</f>
        <v/>
      </c>
    </row>
    <row r="163" hidden="1" outlineLevel="2">
      <c r="A163" s="13" t="inlineStr">
        <is>
          <t>30.14</t>
        </is>
      </c>
      <c r="B163" s="13" t="inlineStr">
        <is>
          <t xml:space="preserve">      SIAE e SCF musica d'ambiente</t>
        </is>
      </c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>
        <f>SUM(C163:N163)</f>
        <v/>
      </c>
    </row>
    <row r="164" hidden="1" outlineLevel="2">
      <c r="A164" s="13" t="inlineStr">
        <is>
          <t>30.15</t>
        </is>
      </c>
      <c r="B164" s="13" t="inlineStr">
        <is>
          <t xml:space="preserve">      Differenze e ammanchi di cassa</t>
        </is>
      </c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>
        <f>SUM(C164:N164)</f>
        <v/>
      </c>
    </row>
    <row r="166">
      <c r="A166" s="9" t="inlineStr">
        <is>
          <t>F</t>
        </is>
      </c>
      <c r="B166" s="9" t="inlineStr">
        <is>
          <t>ONERI FINANZIARI</t>
        </is>
      </c>
      <c r="C166" s="10">
        <f>SUBTOTAL(9,C167:C182)</f>
        <v/>
      </c>
      <c r="D166" s="10">
        <f>SUBTOTAL(9,D167:D182)</f>
        <v/>
      </c>
      <c r="E166" s="10">
        <f>SUBTOTAL(9,E167:E182)</f>
        <v/>
      </c>
      <c r="F166" s="10">
        <f>SUBTOTAL(9,F167:F182)</f>
        <v/>
      </c>
      <c r="G166" s="10">
        <f>SUBTOTAL(9,G167:G182)</f>
        <v/>
      </c>
      <c r="H166" s="10">
        <f>SUBTOTAL(9,H167:H182)</f>
        <v/>
      </c>
      <c r="I166" s="10">
        <f>SUBTOTAL(9,I167:I182)</f>
        <v/>
      </c>
      <c r="J166" s="10">
        <f>SUBTOTAL(9,J167:J182)</f>
        <v/>
      </c>
      <c r="K166" s="10">
        <f>SUBTOTAL(9,K167:K182)</f>
        <v/>
      </c>
      <c r="L166" s="10">
        <f>SUBTOTAL(9,L167:L182)</f>
        <v/>
      </c>
      <c r="M166" s="10">
        <f>SUBTOTAL(9,M167:M182)</f>
        <v/>
      </c>
      <c r="N166" s="10">
        <f>SUBTOTAL(9,N167:N182)</f>
        <v/>
      </c>
      <c r="O166" s="10">
        <f>SUBTOTAL(9,O167:O182)</f>
        <v/>
      </c>
    </row>
    <row r="167" outlineLevel="1">
      <c r="A167" s="11" t="inlineStr">
        <is>
          <t>F1</t>
        </is>
      </c>
      <c r="B167" s="11" t="inlineStr">
        <is>
          <t xml:space="preserve">   Interessi passivi</t>
        </is>
      </c>
      <c r="C167" s="12">
        <f>SUBTOTAL(9,C168:C171)</f>
        <v/>
      </c>
      <c r="D167" s="12">
        <f>SUBTOTAL(9,D168:D171)</f>
        <v/>
      </c>
      <c r="E167" s="12">
        <f>SUBTOTAL(9,E168:E171)</f>
        <v/>
      </c>
      <c r="F167" s="12">
        <f>SUBTOTAL(9,F168:F171)</f>
        <v/>
      </c>
      <c r="G167" s="12">
        <f>SUBTOTAL(9,G168:G171)</f>
        <v/>
      </c>
      <c r="H167" s="12">
        <f>SUBTOTAL(9,H168:H171)</f>
        <v/>
      </c>
      <c r="I167" s="12">
        <f>SUBTOTAL(9,I168:I171)</f>
        <v/>
      </c>
      <c r="J167" s="12">
        <f>SUBTOTAL(9,J168:J171)</f>
        <v/>
      </c>
      <c r="K167" s="12">
        <f>SUBTOTAL(9,K168:K171)</f>
        <v/>
      </c>
      <c r="L167" s="12">
        <f>SUBTOTAL(9,L168:L171)</f>
        <v/>
      </c>
      <c r="M167" s="12">
        <f>SUBTOTAL(9,M168:M171)</f>
        <v/>
      </c>
      <c r="N167" s="12">
        <f>SUBTOTAL(9,N168:N171)</f>
        <v/>
      </c>
      <c r="O167" s="12">
        <f>SUBTOTAL(9,O168:O171)</f>
        <v/>
      </c>
    </row>
    <row r="168" hidden="1" outlineLevel="2">
      <c r="A168" s="13" t="inlineStr">
        <is>
          <t>32.1.01</t>
        </is>
      </c>
      <c r="B168" s="13" t="inlineStr">
        <is>
          <t xml:space="preserve">      Interessi su mutui</t>
        </is>
      </c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>
        <f>SUM(C168:N168)</f>
        <v/>
      </c>
    </row>
    <row r="169" hidden="1" outlineLevel="2">
      <c r="A169" s="13" t="inlineStr">
        <is>
          <t>32.1.02</t>
        </is>
      </c>
      <c r="B169" s="13" t="inlineStr">
        <is>
          <t xml:space="preserve">      Interessi su finanziamenti e conti correnti</t>
        </is>
      </c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>
        <f>SUM(C169:N169)</f>
        <v/>
      </c>
    </row>
    <row r="170" hidden="1" outlineLevel="2">
      <c r="A170" s="13" t="inlineStr">
        <is>
          <t>32.1.03</t>
        </is>
      </c>
      <c r="B170" s="13" t="inlineStr">
        <is>
          <t xml:space="preserve">      Interessi di mora verso fornitori</t>
        </is>
      </c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>
        <f>SUM(C170:N170)</f>
        <v/>
      </c>
    </row>
    <row r="171" hidden="1" outlineLevel="2">
      <c r="A171" s="13" t="inlineStr">
        <is>
          <t>32.1.04</t>
        </is>
      </c>
      <c r="B171" s="13" t="inlineStr">
        <is>
          <t xml:space="preserve">      Interessi da ravvedimento operoso</t>
        </is>
      </c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>
        <f>SUM(C171:N171)</f>
        <v/>
      </c>
    </row>
    <row r="172" outlineLevel="1">
      <c r="A172" s="11" t="inlineStr">
        <is>
          <t>F2</t>
        </is>
      </c>
      <c r="B172" s="11" t="inlineStr">
        <is>
          <t xml:space="preserve">   Spese e servizi bancari</t>
        </is>
      </c>
      <c r="C172" s="12">
        <f>SUBTOTAL(9,C173:C176)</f>
        <v/>
      </c>
      <c r="D172" s="12">
        <f>SUBTOTAL(9,D173:D176)</f>
        <v/>
      </c>
      <c r="E172" s="12">
        <f>SUBTOTAL(9,E173:E176)</f>
        <v/>
      </c>
      <c r="F172" s="12">
        <f>SUBTOTAL(9,F173:F176)</f>
        <v/>
      </c>
      <c r="G172" s="12">
        <f>SUBTOTAL(9,G173:G176)</f>
        <v/>
      </c>
      <c r="H172" s="12">
        <f>SUBTOTAL(9,H173:H176)</f>
        <v/>
      </c>
      <c r="I172" s="12">
        <f>SUBTOTAL(9,I173:I176)</f>
        <v/>
      </c>
      <c r="J172" s="12">
        <f>SUBTOTAL(9,J173:J176)</f>
        <v/>
      </c>
      <c r="K172" s="12">
        <f>SUBTOTAL(9,K173:K176)</f>
        <v/>
      </c>
      <c r="L172" s="12">
        <f>SUBTOTAL(9,L173:L176)</f>
        <v/>
      </c>
      <c r="M172" s="12">
        <f>SUBTOTAL(9,M173:M176)</f>
        <v/>
      </c>
      <c r="N172" s="12">
        <f>SUBTOTAL(9,N173:N176)</f>
        <v/>
      </c>
      <c r="O172" s="12">
        <f>SUBTOTAL(9,O173:O176)</f>
        <v/>
      </c>
    </row>
    <row r="173" hidden="1" outlineLevel="2">
      <c r="A173" s="13" t="inlineStr">
        <is>
          <t>32.2.01</t>
        </is>
      </c>
      <c r="B173" s="13" t="inlineStr">
        <is>
          <t xml:space="preserve">      Spese di tenuta conto e servizi bancari</t>
        </is>
      </c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>
        <f>SUM(C173:N173)</f>
        <v/>
      </c>
    </row>
    <row r="174" hidden="1" outlineLevel="2">
      <c r="A174" s="13" t="inlineStr">
        <is>
          <t>32.2.02</t>
        </is>
      </c>
      <c r="B174" s="13" t="inlineStr">
        <is>
          <t xml:space="preserve">      Commissioni su bonifici</t>
        </is>
      </c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>
        <f>SUM(C174:N174)</f>
        <v/>
      </c>
    </row>
    <row r="175" hidden="1" outlineLevel="2">
      <c r="A175" s="13" t="inlineStr">
        <is>
          <t>32.2.03</t>
        </is>
      </c>
      <c r="B175" s="13" t="inlineStr">
        <is>
          <t xml:space="preserve">      Commissioni RID / SDD</t>
        </is>
      </c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>
        <f>SUM(C175:N175)</f>
        <v/>
      </c>
    </row>
    <row r="176" hidden="1" outlineLevel="2">
      <c r="A176" s="13" t="inlineStr">
        <is>
          <t>32.2.04</t>
        </is>
      </c>
      <c r="B176" s="13" t="inlineStr">
        <is>
          <t xml:space="preserve">      Canoni POS e servizi di incasso</t>
        </is>
      </c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>
        <f>SUM(C176:N176)</f>
        <v/>
      </c>
    </row>
    <row r="177" outlineLevel="1">
      <c r="A177" s="11" t="inlineStr">
        <is>
          <t>F3</t>
        </is>
      </c>
      <c r="B177" s="11" t="inlineStr">
        <is>
          <t xml:space="preserve">   Commissioni su incassi</t>
        </is>
      </c>
      <c r="C177" s="12">
        <f>SUBTOTAL(9,C178:C182)</f>
        <v/>
      </c>
      <c r="D177" s="12">
        <f>SUBTOTAL(9,D178:D182)</f>
        <v/>
      </c>
      <c r="E177" s="12">
        <f>SUBTOTAL(9,E178:E182)</f>
        <v/>
      </c>
      <c r="F177" s="12">
        <f>SUBTOTAL(9,F178:F182)</f>
        <v/>
      </c>
      <c r="G177" s="12">
        <f>SUBTOTAL(9,G178:G182)</f>
        <v/>
      </c>
      <c r="H177" s="12">
        <f>SUBTOTAL(9,H178:H182)</f>
        <v/>
      </c>
      <c r="I177" s="12">
        <f>SUBTOTAL(9,I178:I182)</f>
        <v/>
      </c>
      <c r="J177" s="12">
        <f>SUBTOTAL(9,J178:J182)</f>
        <v/>
      </c>
      <c r="K177" s="12">
        <f>SUBTOTAL(9,K178:K182)</f>
        <v/>
      </c>
      <c r="L177" s="12">
        <f>SUBTOTAL(9,L178:L182)</f>
        <v/>
      </c>
      <c r="M177" s="12">
        <f>SUBTOTAL(9,M178:M182)</f>
        <v/>
      </c>
      <c r="N177" s="12">
        <f>SUBTOTAL(9,N178:N182)</f>
        <v/>
      </c>
      <c r="O177" s="12">
        <f>SUBTOTAL(9,O178:O182)</f>
        <v/>
      </c>
    </row>
    <row r="178" hidden="1" outlineLevel="2">
      <c r="A178" s="13" t="inlineStr">
        <is>
          <t>32.3.01</t>
        </is>
      </c>
      <c r="B178" s="13" t="inlineStr">
        <is>
          <t xml:space="preserve">      Commissioni Pagobancomat</t>
        </is>
      </c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>
        <f>SUM(C178:N178)</f>
        <v/>
      </c>
    </row>
    <row r="179" hidden="1" outlineLevel="2">
      <c r="A179" s="13" t="inlineStr">
        <is>
          <t>32.3.02</t>
        </is>
      </c>
      <c r="B179" s="13" t="inlineStr">
        <is>
          <t xml:space="preserve">      Commissioni carte internazionali</t>
        </is>
      </c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>
        <f>SUM(C179:N179)</f>
        <v/>
      </c>
    </row>
    <row r="180" hidden="1" outlineLevel="2">
      <c r="A180" s="13" t="inlineStr">
        <is>
          <t>32.3.03</t>
        </is>
      </c>
      <c r="B180" s="13" t="inlineStr">
        <is>
          <t xml:space="preserve">      Commissioni SumUp</t>
        </is>
      </c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>
        <f>SUM(C180:N180)</f>
        <v/>
      </c>
    </row>
    <row r="181" hidden="1" outlineLevel="2">
      <c r="A181" s="13" t="inlineStr">
        <is>
          <t>32.3.04</t>
        </is>
      </c>
      <c r="B181" s="13" t="inlineStr">
        <is>
          <t xml:space="preserve">      Commissioni Axerve</t>
        </is>
      </c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>
        <f>SUM(C181:N181)</f>
        <v/>
      </c>
    </row>
    <row r="182" hidden="1" outlineLevel="2">
      <c r="A182" s="13" t="inlineStr">
        <is>
          <t>32.3.05</t>
        </is>
      </c>
      <c r="B182" s="13" t="inlineStr">
        <is>
          <t xml:space="preserve">      Commissioni altri PSP e buoni pasto</t>
        </is>
      </c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>
        <f>SUM(C182:N182)</f>
        <v/>
      </c>
    </row>
    <row r="183">
      <c r="A183" s="15" t="n"/>
      <c r="B183" s="16" t="inlineStr">
        <is>
          <t>CASH FLOW OPERATIVO</t>
        </is>
      </c>
      <c r="C183" s="17">
        <f>C5+C21+C54+C83+C100+C166</f>
        <v/>
      </c>
      <c r="D183" s="17">
        <f>D5+D21+D54+D83+D100+D166</f>
        <v/>
      </c>
      <c r="E183" s="17">
        <f>E5+E21+E54+E83+E100+E166</f>
        <v/>
      </c>
      <c r="F183" s="17">
        <f>F5+F21+F54+F83+F100+F166</f>
        <v/>
      </c>
      <c r="G183" s="17">
        <f>G5+G21+G54+G83+G100+G166</f>
        <v/>
      </c>
      <c r="H183" s="17">
        <f>H5+H21+H54+H83+H100+H166</f>
        <v/>
      </c>
      <c r="I183" s="17">
        <f>I5+I21+I54+I83+I100+I166</f>
        <v/>
      </c>
      <c r="J183" s="17">
        <f>J5+J21+J54+J83+J100+J166</f>
        <v/>
      </c>
      <c r="K183" s="17">
        <f>K5+K21+K54+K83+K100+K166</f>
        <v/>
      </c>
      <c r="L183" s="17">
        <f>L5+L21+L54+L83+L100+L166</f>
        <v/>
      </c>
      <c r="M183" s="17">
        <f>M5+M21+M54+M83+M100+M166</f>
        <v/>
      </c>
      <c r="N183" s="17">
        <f>N5+N21+N54+N83+N100+N166</f>
        <v/>
      </c>
      <c r="O183" s="17">
        <f>O5+O21+O54+O83+O100+O166</f>
        <v/>
      </c>
    </row>
    <row r="185">
      <c r="A185" s="9" t="inlineStr">
        <is>
          <t>G</t>
        </is>
      </c>
      <c r="B185" s="9" t="inlineStr">
        <is>
          <t>FISCO E IVA</t>
        </is>
      </c>
      <c r="C185" s="10">
        <f>SUBTOTAL(9,C186:C194)</f>
        <v/>
      </c>
      <c r="D185" s="10">
        <f>SUBTOTAL(9,D186:D194)</f>
        <v/>
      </c>
      <c r="E185" s="10">
        <f>SUBTOTAL(9,E186:E194)</f>
        <v/>
      </c>
      <c r="F185" s="10">
        <f>SUBTOTAL(9,F186:F194)</f>
        <v/>
      </c>
      <c r="G185" s="10">
        <f>SUBTOTAL(9,G186:G194)</f>
        <v/>
      </c>
      <c r="H185" s="10">
        <f>SUBTOTAL(9,H186:H194)</f>
        <v/>
      </c>
      <c r="I185" s="10">
        <f>SUBTOTAL(9,I186:I194)</f>
        <v/>
      </c>
      <c r="J185" s="10">
        <f>SUBTOTAL(9,J186:J194)</f>
        <v/>
      </c>
      <c r="K185" s="10">
        <f>SUBTOTAL(9,K186:K194)</f>
        <v/>
      </c>
      <c r="L185" s="10">
        <f>SUBTOTAL(9,L186:L194)</f>
        <v/>
      </c>
      <c r="M185" s="10">
        <f>SUBTOTAL(9,M186:M194)</f>
        <v/>
      </c>
      <c r="N185" s="10">
        <f>SUBTOTAL(9,N186:N194)</f>
        <v/>
      </c>
      <c r="O185" s="10">
        <f>SUBTOTAL(9,O186:O194)</f>
        <v/>
      </c>
    </row>
    <row r="186" outlineLevel="1">
      <c r="A186" s="11" t="inlineStr">
        <is>
          <t>G1</t>
        </is>
      </c>
      <c r="B186" s="11" t="inlineStr">
        <is>
          <t xml:space="preserve">   IVA incassata sui corrispettivi</t>
        </is>
      </c>
      <c r="C186" s="18" t="n"/>
      <c r="D186" s="18" t="n"/>
      <c r="E186" s="18" t="n"/>
      <c r="F186" s="18" t="n"/>
      <c r="G186" s="18" t="n"/>
      <c r="H186" s="18" t="n"/>
      <c r="I186" s="18" t="n"/>
      <c r="J186" s="18" t="n"/>
      <c r="K186" s="18" t="n"/>
      <c r="L186" s="18" t="n"/>
      <c r="M186" s="18" t="n"/>
      <c r="N186" s="18" t="n"/>
      <c r="O186" s="18">
        <f>SUM(C186:N186)</f>
        <v/>
      </c>
    </row>
    <row r="187" outlineLevel="1">
      <c r="A187" s="11" t="inlineStr">
        <is>
          <t>G2</t>
        </is>
      </c>
      <c r="B187" s="11" t="inlineStr">
        <is>
          <t xml:space="preserve">   IVA pagata sugli acquisti</t>
        </is>
      </c>
      <c r="C187" s="18" t="n"/>
      <c r="D187" s="18" t="n"/>
      <c r="E187" s="18" t="n"/>
      <c r="F187" s="18" t="n"/>
      <c r="G187" s="18" t="n"/>
      <c r="H187" s="18" t="n"/>
      <c r="I187" s="18" t="n"/>
      <c r="J187" s="18" t="n"/>
      <c r="K187" s="18" t="n"/>
      <c r="L187" s="18" t="n"/>
      <c r="M187" s="18" t="n"/>
      <c r="N187" s="18" t="n"/>
      <c r="O187" s="18">
        <f>SUM(C187:N187)</f>
        <v/>
      </c>
    </row>
    <row r="188" outlineLevel="1">
      <c r="A188" s="11" t="inlineStr">
        <is>
          <t>G3</t>
        </is>
      </c>
      <c r="B188" s="11" t="inlineStr">
        <is>
          <t xml:space="preserve">   F24 IVA</t>
        </is>
      </c>
      <c r="C188" s="12">
        <f>SUBTOTAL(9,C189:C190)</f>
        <v/>
      </c>
      <c r="D188" s="12">
        <f>SUBTOTAL(9,D189:D190)</f>
        <v/>
      </c>
      <c r="E188" s="12">
        <f>SUBTOTAL(9,E189:E190)</f>
        <v/>
      </c>
      <c r="F188" s="12">
        <f>SUBTOTAL(9,F189:F190)</f>
        <v/>
      </c>
      <c r="G188" s="12">
        <f>SUBTOTAL(9,G189:G190)</f>
        <v/>
      </c>
      <c r="H188" s="12">
        <f>SUBTOTAL(9,H189:H190)</f>
        <v/>
      </c>
      <c r="I188" s="12">
        <f>SUBTOTAL(9,I189:I190)</f>
        <v/>
      </c>
      <c r="J188" s="12">
        <f>SUBTOTAL(9,J189:J190)</f>
        <v/>
      </c>
      <c r="K188" s="12">
        <f>SUBTOTAL(9,K189:K190)</f>
        <v/>
      </c>
      <c r="L188" s="12">
        <f>SUBTOTAL(9,L189:L190)</f>
        <v/>
      </c>
      <c r="M188" s="12">
        <f>SUBTOTAL(9,M189:M190)</f>
        <v/>
      </c>
      <c r="N188" s="12">
        <f>SUBTOTAL(9,N189:N190)</f>
        <v/>
      </c>
      <c r="O188" s="12">
        <f>SUBTOTAL(9,O189:O190)</f>
        <v/>
      </c>
    </row>
    <row r="189" hidden="1" outlineLevel="2">
      <c r="A189" s="13" t="inlineStr">
        <is>
          <t>40.3.01</t>
        </is>
      </c>
      <c r="B189" s="13" t="inlineStr">
        <is>
          <t xml:space="preserve">      F24 IVA versata</t>
        </is>
      </c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>
        <f>SUM(C189:N189)</f>
        <v/>
      </c>
    </row>
    <row r="190" hidden="1" outlineLevel="2">
      <c r="A190" s="13" t="inlineStr">
        <is>
          <t>40.3.04</t>
        </is>
      </c>
      <c r="B190" s="13" t="inlineStr">
        <is>
          <t xml:space="preserve">      Rimborsi e crediti compensati</t>
        </is>
      </c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>
        <f>SUM(C190:N190)</f>
        <v/>
      </c>
    </row>
    <row r="191" outlineLevel="1">
      <c r="A191" s="11" t="inlineStr">
        <is>
          <t>G4</t>
        </is>
      </c>
      <c r="B191" s="11" t="inlineStr">
        <is>
          <t xml:space="preserve">   Imposte sul reddito</t>
        </is>
      </c>
      <c r="C191" s="12">
        <f>SUBTOTAL(9,C192:C192)</f>
        <v/>
      </c>
      <c r="D191" s="12">
        <f>SUBTOTAL(9,D192:D192)</f>
        <v/>
      </c>
      <c r="E191" s="12">
        <f>SUBTOTAL(9,E192:E192)</f>
        <v/>
      </c>
      <c r="F191" s="12">
        <f>SUBTOTAL(9,F192:F192)</f>
        <v/>
      </c>
      <c r="G191" s="12">
        <f>SUBTOTAL(9,G192:G192)</f>
        <v/>
      </c>
      <c r="H191" s="12">
        <f>SUBTOTAL(9,H192:H192)</f>
        <v/>
      </c>
      <c r="I191" s="12">
        <f>SUBTOTAL(9,I192:I192)</f>
        <v/>
      </c>
      <c r="J191" s="12">
        <f>SUBTOTAL(9,J192:J192)</f>
        <v/>
      </c>
      <c r="K191" s="12">
        <f>SUBTOTAL(9,K192:K192)</f>
        <v/>
      </c>
      <c r="L191" s="12">
        <f>SUBTOTAL(9,L192:L192)</f>
        <v/>
      </c>
      <c r="M191" s="12">
        <f>SUBTOTAL(9,M192:M192)</f>
        <v/>
      </c>
      <c r="N191" s="12">
        <f>SUBTOTAL(9,N192:N192)</f>
        <v/>
      </c>
      <c r="O191" s="12">
        <f>SUBTOTAL(9,O192:O192)</f>
        <v/>
      </c>
    </row>
    <row r="192" hidden="1" outlineLevel="2">
      <c r="A192" s="13" t="inlineStr">
        <is>
          <t>40.3.02</t>
        </is>
      </c>
      <c r="B192" s="13" t="inlineStr">
        <is>
          <t xml:space="preserve">      F24 imposte sul reddito</t>
        </is>
      </c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>
        <f>SUM(C192:N192)</f>
        <v/>
      </c>
    </row>
    <row r="193" outlineLevel="1">
      <c r="A193" s="11" t="inlineStr">
        <is>
          <t>G5</t>
        </is>
      </c>
      <c r="B193" s="11" t="inlineStr">
        <is>
          <t xml:space="preserve">   Ritenute e contributi</t>
        </is>
      </c>
      <c r="C193" s="12">
        <f>SUBTOTAL(9,C194:C194)</f>
        <v/>
      </c>
      <c r="D193" s="12">
        <f>SUBTOTAL(9,D194:D194)</f>
        <v/>
      </c>
      <c r="E193" s="12">
        <f>SUBTOTAL(9,E194:E194)</f>
        <v/>
      </c>
      <c r="F193" s="12">
        <f>SUBTOTAL(9,F194:F194)</f>
        <v/>
      </c>
      <c r="G193" s="12">
        <f>SUBTOTAL(9,G194:G194)</f>
        <v/>
      </c>
      <c r="H193" s="12">
        <f>SUBTOTAL(9,H194:H194)</f>
        <v/>
      </c>
      <c r="I193" s="12">
        <f>SUBTOTAL(9,I194:I194)</f>
        <v/>
      </c>
      <c r="J193" s="12">
        <f>SUBTOTAL(9,J194:J194)</f>
        <v/>
      </c>
      <c r="K193" s="12">
        <f>SUBTOTAL(9,K194:K194)</f>
        <v/>
      </c>
      <c r="L193" s="12">
        <f>SUBTOTAL(9,L194:L194)</f>
        <v/>
      </c>
      <c r="M193" s="12">
        <f>SUBTOTAL(9,M194:M194)</f>
        <v/>
      </c>
      <c r="N193" s="12">
        <f>SUBTOTAL(9,N194:N194)</f>
        <v/>
      </c>
      <c r="O193" s="12">
        <f>SUBTOTAL(9,O194:O194)</f>
        <v/>
      </c>
    </row>
    <row r="194" hidden="1" outlineLevel="2">
      <c r="A194" s="13" t="inlineStr">
        <is>
          <t>40.3.03</t>
        </is>
      </c>
      <c r="B194" s="13" t="inlineStr">
        <is>
          <t xml:space="preserve">      F24 ritenute e contributi</t>
        </is>
      </c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>
        <f>SUM(C194:N194)</f>
        <v/>
      </c>
    </row>
    <row r="196">
      <c r="A196" s="9" t="inlineStr">
        <is>
          <t>H</t>
        </is>
      </c>
      <c r="B196" s="9" t="inlineStr">
        <is>
          <t>INVESTIMENTI</t>
        </is>
      </c>
      <c r="C196" s="10">
        <f>SUBTOTAL(9,C197:C202)</f>
        <v/>
      </c>
      <c r="D196" s="10">
        <f>SUBTOTAL(9,D197:D202)</f>
        <v/>
      </c>
      <c r="E196" s="10">
        <f>SUBTOTAL(9,E197:E202)</f>
        <v/>
      </c>
      <c r="F196" s="10">
        <f>SUBTOTAL(9,F197:F202)</f>
        <v/>
      </c>
      <c r="G196" s="10">
        <f>SUBTOTAL(9,G197:G202)</f>
        <v/>
      </c>
      <c r="H196" s="10">
        <f>SUBTOTAL(9,H197:H202)</f>
        <v/>
      </c>
      <c r="I196" s="10">
        <f>SUBTOTAL(9,I197:I202)</f>
        <v/>
      </c>
      <c r="J196" s="10">
        <f>SUBTOTAL(9,J197:J202)</f>
        <v/>
      </c>
      <c r="K196" s="10">
        <f>SUBTOTAL(9,K197:K202)</f>
        <v/>
      </c>
      <c r="L196" s="10">
        <f>SUBTOTAL(9,L197:L202)</f>
        <v/>
      </c>
      <c r="M196" s="10">
        <f>SUBTOTAL(9,M197:M202)</f>
        <v/>
      </c>
      <c r="N196" s="10">
        <f>SUBTOTAL(9,N197:N202)</f>
        <v/>
      </c>
      <c r="O196" s="10">
        <f>SUBTOTAL(9,O197:O202)</f>
        <v/>
      </c>
    </row>
    <row r="197" outlineLevel="1">
      <c r="A197" s="11" t="inlineStr">
        <is>
          <t>H1</t>
        </is>
      </c>
      <c r="B197" s="11" t="inlineStr">
        <is>
          <t xml:space="preserve">   Acquisto immobilizzazioni</t>
        </is>
      </c>
      <c r="C197" s="12">
        <f>SUBTOTAL(9,C198:C200)</f>
        <v/>
      </c>
      <c r="D197" s="12">
        <f>SUBTOTAL(9,D198:D200)</f>
        <v/>
      </c>
      <c r="E197" s="12">
        <f>SUBTOTAL(9,E198:E200)</f>
        <v/>
      </c>
      <c r="F197" s="12">
        <f>SUBTOTAL(9,F198:F200)</f>
        <v/>
      </c>
      <c r="G197" s="12">
        <f>SUBTOTAL(9,G198:G200)</f>
        <v/>
      </c>
      <c r="H197" s="12">
        <f>SUBTOTAL(9,H198:H200)</f>
        <v/>
      </c>
      <c r="I197" s="12">
        <f>SUBTOTAL(9,I198:I200)</f>
        <v/>
      </c>
      <c r="J197" s="12">
        <f>SUBTOTAL(9,J198:J200)</f>
        <v/>
      </c>
      <c r="K197" s="12">
        <f>SUBTOTAL(9,K198:K200)</f>
        <v/>
      </c>
      <c r="L197" s="12">
        <f>SUBTOTAL(9,L198:L200)</f>
        <v/>
      </c>
      <c r="M197" s="12">
        <f>SUBTOTAL(9,M198:M200)</f>
        <v/>
      </c>
      <c r="N197" s="12">
        <f>SUBTOTAL(9,N198:N200)</f>
        <v/>
      </c>
      <c r="O197" s="12">
        <f>SUBTOTAL(9,O198:O200)</f>
        <v/>
      </c>
    </row>
    <row r="198" hidden="1" outlineLevel="2">
      <c r="A198" s="13" t="inlineStr">
        <is>
          <t>40.1.01</t>
        </is>
      </c>
      <c r="B198" s="13" t="inlineStr">
        <is>
          <t xml:space="preserve">      Acquisto immobilizzazioni materiali</t>
        </is>
      </c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>
        <f>SUM(C198:N198)</f>
        <v/>
      </c>
    </row>
    <row r="199" hidden="1" outlineLevel="2">
      <c r="A199" s="13" t="inlineStr">
        <is>
          <t>40.1.02</t>
        </is>
      </c>
      <c r="B199" s="13" t="inlineStr">
        <is>
          <t xml:space="preserve">      Acquisto immobilizzazioni immateriali</t>
        </is>
      </c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>
        <f>SUM(C199:N199)</f>
        <v/>
      </c>
    </row>
    <row r="200" hidden="1" outlineLevel="2">
      <c r="A200" s="13" t="inlineStr">
        <is>
          <t>40.1.03</t>
        </is>
      </c>
      <c r="B200" s="13" t="inlineStr">
        <is>
          <t xml:space="preserve">      Migliorie su beni di terzi</t>
        </is>
      </c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>
        <f>SUM(C200:N200)</f>
        <v/>
      </c>
    </row>
    <row r="201" outlineLevel="1">
      <c r="A201" s="11" t="inlineStr">
        <is>
          <t>H2</t>
        </is>
      </c>
      <c r="B201" s="11" t="inlineStr">
        <is>
          <t xml:space="preserve">   Cessione cespiti</t>
        </is>
      </c>
      <c r="C201" s="12">
        <f>SUBTOTAL(9,C202:C202)</f>
        <v/>
      </c>
      <c r="D201" s="12">
        <f>SUBTOTAL(9,D202:D202)</f>
        <v/>
      </c>
      <c r="E201" s="12">
        <f>SUBTOTAL(9,E202:E202)</f>
        <v/>
      </c>
      <c r="F201" s="12">
        <f>SUBTOTAL(9,F202:F202)</f>
        <v/>
      </c>
      <c r="G201" s="12">
        <f>SUBTOTAL(9,G202:G202)</f>
        <v/>
      </c>
      <c r="H201" s="12">
        <f>SUBTOTAL(9,H202:H202)</f>
        <v/>
      </c>
      <c r="I201" s="12">
        <f>SUBTOTAL(9,I202:I202)</f>
        <v/>
      </c>
      <c r="J201" s="12">
        <f>SUBTOTAL(9,J202:J202)</f>
        <v/>
      </c>
      <c r="K201" s="12">
        <f>SUBTOTAL(9,K202:K202)</f>
        <v/>
      </c>
      <c r="L201" s="12">
        <f>SUBTOTAL(9,L202:L202)</f>
        <v/>
      </c>
      <c r="M201" s="12">
        <f>SUBTOTAL(9,M202:M202)</f>
        <v/>
      </c>
      <c r="N201" s="12">
        <f>SUBTOTAL(9,N202:N202)</f>
        <v/>
      </c>
      <c r="O201" s="12">
        <f>SUBTOTAL(9,O202:O202)</f>
        <v/>
      </c>
    </row>
    <row r="202" hidden="1" outlineLevel="2">
      <c r="A202" s="13" t="inlineStr">
        <is>
          <t>40.1.04</t>
        </is>
      </c>
      <c r="B202" s="13" t="inlineStr">
        <is>
          <t xml:space="preserve">      Cessione cespiti</t>
        </is>
      </c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>
        <f>SUM(C202:N202)</f>
        <v/>
      </c>
    </row>
    <row r="204">
      <c r="A204" s="9" t="inlineStr">
        <is>
          <t>I</t>
        </is>
      </c>
      <c r="B204" s="9" t="inlineStr">
        <is>
          <t>FINANZIAMENTI</t>
        </is>
      </c>
      <c r="C204" s="10">
        <f>SUBTOTAL(9,C205:C211)</f>
        <v/>
      </c>
      <c r="D204" s="10">
        <f>SUBTOTAL(9,D205:D211)</f>
        <v/>
      </c>
      <c r="E204" s="10">
        <f>SUBTOTAL(9,E205:E211)</f>
        <v/>
      </c>
      <c r="F204" s="10">
        <f>SUBTOTAL(9,F205:F211)</f>
        <v/>
      </c>
      <c r="G204" s="10">
        <f>SUBTOTAL(9,G205:G211)</f>
        <v/>
      </c>
      <c r="H204" s="10">
        <f>SUBTOTAL(9,H205:H211)</f>
        <v/>
      </c>
      <c r="I204" s="10">
        <f>SUBTOTAL(9,I205:I211)</f>
        <v/>
      </c>
      <c r="J204" s="10">
        <f>SUBTOTAL(9,J205:J211)</f>
        <v/>
      </c>
      <c r="K204" s="10">
        <f>SUBTOTAL(9,K205:K211)</f>
        <v/>
      </c>
      <c r="L204" s="10">
        <f>SUBTOTAL(9,L205:L211)</f>
        <v/>
      </c>
      <c r="M204" s="10">
        <f>SUBTOTAL(9,M205:M211)</f>
        <v/>
      </c>
      <c r="N204" s="10">
        <f>SUBTOTAL(9,N205:N211)</f>
        <v/>
      </c>
      <c r="O204" s="10">
        <f>SUBTOTAL(9,O205:O211)</f>
        <v/>
      </c>
    </row>
    <row r="205" outlineLevel="1">
      <c r="A205" s="11" t="inlineStr">
        <is>
          <t>I1</t>
        </is>
      </c>
      <c r="B205" s="11" t="inlineStr">
        <is>
          <t xml:space="preserve">   Rimborso capitale</t>
        </is>
      </c>
      <c r="C205" s="12">
        <f>SUBTOTAL(9,C206:C206)</f>
        <v/>
      </c>
      <c r="D205" s="12">
        <f>SUBTOTAL(9,D206:D206)</f>
        <v/>
      </c>
      <c r="E205" s="12">
        <f>SUBTOTAL(9,E206:E206)</f>
        <v/>
      </c>
      <c r="F205" s="12">
        <f>SUBTOTAL(9,F206:F206)</f>
        <v/>
      </c>
      <c r="G205" s="12">
        <f>SUBTOTAL(9,G206:G206)</f>
        <v/>
      </c>
      <c r="H205" s="12">
        <f>SUBTOTAL(9,H206:H206)</f>
        <v/>
      </c>
      <c r="I205" s="12">
        <f>SUBTOTAL(9,I206:I206)</f>
        <v/>
      </c>
      <c r="J205" s="12">
        <f>SUBTOTAL(9,J206:J206)</f>
        <v/>
      </c>
      <c r="K205" s="12">
        <f>SUBTOTAL(9,K206:K206)</f>
        <v/>
      </c>
      <c r="L205" s="12">
        <f>SUBTOTAL(9,L206:L206)</f>
        <v/>
      </c>
      <c r="M205" s="12">
        <f>SUBTOTAL(9,M206:M206)</f>
        <v/>
      </c>
      <c r="N205" s="12">
        <f>SUBTOTAL(9,N206:N206)</f>
        <v/>
      </c>
      <c r="O205" s="12">
        <f>SUBTOTAL(9,O206:O206)</f>
        <v/>
      </c>
    </row>
    <row r="206" hidden="1" outlineLevel="2">
      <c r="A206" s="13" t="inlineStr">
        <is>
          <t>40.2.01</t>
        </is>
      </c>
      <c r="B206" s="13" t="inlineStr">
        <is>
          <t xml:space="preserve">      Rimborso capitale mutui</t>
        </is>
      </c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>
        <f>SUM(C206:N206)</f>
        <v/>
      </c>
    </row>
    <row r="207" outlineLevel="1">
      <c r="A207" s="11" t="inlineStr">
        <is>
          <t>I2</t>
        </is>
      </c>
      <c r="B207" s="11" t="inlineStr">
        <is>
          <t xml:space="preserve">   Nuova finanza</t>
        </is>
      </c>
      <c r="C207" s="12">
        <f>SUBTOTAL(9,C208:C208)</f>
        <v/>
      </c>
      <c r="D207" s="12">
        <f>SUBTOTAL(9,D208:D208)</f>
        <v/>
      </c>
      <c r="E207" s="12">
        <f>SUBTOTAL(9,E208:E208)</f>
        <v/>
      </c>
      <c r="F207" s="12">
        <f>SUBTOTAL(9,F208:F208)</f>
        <v/>
      </c>
      <c r="G207" s="12">
        <f>SUBTOTAL(9,G208:G208)</f>
        <v/>
      </c>
      <c r="H207" s="12">
        <f>SUBTOTAL(9,H208:H208)</f>
        <v/>
      </c>
      <c r="I207" s="12">
        <f>SUBTOTAL(9,I208:I208)</f>
        <v/>
      </c>
      <c r="J207" s="12">
        <f>SUBTOTAL(9,J208:J208)</f>
        <v/>
      </c>
      <c r="K207" s="12">
        <f>SUBTOTAL(9,K208:K208)</f>
        <v/>
      </c>
      <c r="L207" s="12">
        <f>SUBTOTAL(9,L208:L208)</f>
        <v/>
      </c>
      <c r="M207" s="12">
        <f>SUBTOTAL(9,M208:M208)</f>
        <v/>
      </c>
      <c r="N207" s="12">
        <f>SUBTOTAL(9,N208:N208)</f>
        <v/>
      </c>
      <c r="O207" s="12">
        <f>SUBTOTAL(9,O208:O208)</f>
        <v/>
      </c>
    </row>
    <row r="208" hidden="1" outlineLevel="2">
      <c r="A208" s="13" t="inlineStr">
        <is>
          <t>40.2.02</t>
        </is>
      </c>
      <c r="B208" s="13" t="inlineStr">
        <is>
          <t xml:space="preserve">      Erogazione nuovi finanziamenti</t>
        </is>
      </c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>
        <f>SUM(C208:N208)</f>
        <v/>
      </c>
    </row>
    <row r="209" outlineLevel="1">
      <c r="A209" s="11" t="inlineStr">
        <is>
          <t>I3</t>
        </is>
      </c>
      <c r="B209" s="11" t="inlineStr">
        <is>
          <t xml:space="preserve">   Soci</t>
        </is>
      </c>
      <c r="C209" s="12">
        <f>SUBTOTAL(9,C210:C211)</f>
        <v/>
      </c>
      <c r="D209" s="12">
        <f>SUBTOTAL(9,D210:D211)</f>
        <v/>
      </c>
      <c r="E209" s="12">
        <f>SUBTOTAL(9,E210:E211)</f>
        <v/>
      </c>
      <c r="F209" s="12">
        <f>SUBTOTAL(9,F210:F211)</f>
        <v/>
      </c>
      <c r="G209" s="12">
        <f>SUBTOTAL(9,G210:G211)</f>
        <v/>
      </c>
      <c r="H209" s="12">
        <f>SUBTOTAL(9,H210:H211)</f>
        <v/>
      </c>
      <c r="I209" s="12">
        <f>SUBTOTAL(9,I210:I211)</f>
        <v/>
      </c>
      <c r="J209" s="12">
        <f>SUBTOTAL(9,J210:J211)</f>
        <v/>
      </c>
      <c r="K209" s="12">
        <f>SUBTOTAL(9,K210:K211)</f>
        <v/>
      </c>
      <c r="L209" s="12">
        <f>SUBTOTAL(9,L210:L211)</f>
        <v/>
      </c>
      <c r="M209" s="12">
        <f>SUBTOTAL(9,M210:M211)</f>
        <v/>
      </c>
      <c r="N209" s="12">
        <f>SUBTOTAL(9,N210:N211)</f>
        <v/>
      </c>
      <c r="O209" s="12">
        <f>SUBTOTAL(9,O210:O211)</f>
        <v/>
      </c>
    </row>
    <row r="210" hidden="1" outlineLevel="2">
      <c r="A210" s="13" t="inlineStr">
        <is>
          <t>40.2.03</t>
        </is>
      </c>
      <c r="B210" s="13" t="inlineStr">
        <is>
          <t xml:space="preserve">      Rimborso finanziamento soci</t>
        </is>
      </c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>
        <f>SUM(C210:N210)</f>
        <v/>
      </c>
    </row>
    <row r="211" hidden="1" outlineLevel="2">
      <c r="A211" s="13" t="inlineStr">
        <is>
          <t>40.2.04</t>
        </is>
      </c>
      <c r="B211" s="13" t="inlineStr">
        <is>
          <t xml:space="preserve">      Versamento finanziamento soci</t>
        </is>
      </c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>
        <f>SUM(C211:N211)</f>
        <v/>
      </c>
    </row>
    <row r="213">
      <c r="A213" s="15" t="n"/>
      <c r="B213" s="16" t="inlineStr">
        <is>
          <t>VARIAZIONE DI CASSA</t>
        </is>
      </c>
      <c r="C213" s="17">
        <f>C183+C185+C196+C204</f>
        <v/>
      </c>
      <c r="D213" s="17">
        <f>D183+D185+D196+D204</f>
        <v/>
      </c>
      <c r="E213" s="17">
        <f>E183+E185+E196+E204</f>
        <v/>
      </c>
      <c r="F213" s="17">
        <f>F183+F185+F196+F204</f>
        <v/>
      </c>
      <c r="G213" s="17">
        <f>G183+G185+G196+G204</f>
        <v/>
      </c>
      <c r="H213" s="17">
        <f>H183+H185+H196+H204</f>
        <v/>
      </c>
      <c r="I213" s="17">
        <f>I183+I185+I196+I204</f>
        <v/>
      </c>
      <c r="J213" s="17">
        <f>J183+J185+J196+J204</f>
        <v/>
      </c>
      <c r="K213" s="17">
        <f>K183+K185+K196+K204</f>
        <v/>
      </c>
      <c r="L213" s="17">
        <f>L183+L185+L196+L204</f>
        <v/>
      </c>
      <c r="M213" s="17">
        <f>M183+M185+M196+M204</f>
        <v/>
      </c>
      <c r="N213" s="17">
        <f>N183+N185+N196+N204</f>
        <v/>
      </c>
      <c r="O213" s="17">
        <f>O183+O185+O196+O204</f>
        <v/>
      </c>
    </row>
    <row r="214">
      <c r="B214" s="11" t="inlineStr">
        <is>
          <t>Cassa e banca a inizio mese</t>
        </is>
      </c>
      <c r="C214" s="18" t="n"/>
      <c r="D214" s="12">
        <f>C215</f>
        <v/>
      </c>
      <c r="E214" s="12">
        <f>D215</f>
        <v/>
      </c>
      <c r="F214" s="12">
        <f>E215</f>
        <v/>
      </c>
      <c r="G214" s="12">
        <f>F215</f>
        <v/>
      </c>
      <c r="H214" s="12">
        <f>G215</f>
        <v/>
      </c>
      <c r="I214" s="12">
        <f>H215</f>
        <v/>
      </c>
      <c r="J214" s="12">
        <f>I215</f>
        <v/>
      </c>
      <c r="K214" s="12">
        <f>J215</f>
        <v/>
      </c>
      <c r="L214" s="12">
        <f>K215</f>
        <v/>
      </c>
      <c r="M214" s="12">
        <f>L215</f>
        <v/>
      </c>
      <c r="N214" s="12">
        <f>M215</f>
        <v/>
      </c>
      <c r="O214" s="12">
        <f>C214</f>
        <v/>
      </c>
    </row>
    <row r="215">
      <c r="A215" s="15" t="n"/>
      <c r="B215" s="16" t="inlineStr">
        <is>
          <t>CASSA E BANCA A FINE MESE</t>
        </is>
      </c>
      <c r="C215" s="17">
        <f>C214+C213</f>
        <v/>
      </c>
      <c r="D215" s="17">
        <f>D214+D213</f>
        <v/>
      </c>
      <c r="E215" s="17">
        <f>E214+E213</f>
        <v/>
      </c>
      <c r="F215" s="17">
        <f>F214+F213</f>
        <v/>
      </c>
      <c r="G215" s="17">
        <f>G214+G213</f>
        <v/>
      </c>
      <c r="H215" s="17">
        <f>H214+H213</f>
        <v/>
      </c>
      <c r="I215" s="17">
        <f>I214+I213</f>
        <v/>
      </c>
      <c r="J215" s="17">
        <f>J214+J213</f>
        <v/>
      </c>
      <c r="K215" s="17">
        <f>K214+K213</f>
        <v/>
      </c>
      <c r="L215" s="17">
        <f>L214+L213</f>
        <v/>
      </c>
      <c r="M215" s="17">
        <f>M214+M213</f>
        <v/>
      </c>
      <c r="N215" s="17">
        <f>N214+N213</f>
        <v/>
      </c>
      <c r="O215" s="17">
        <f>N215</f>
        <v/>
      </c>
    </row>
    <row r="218">
      <c r="B218" s="19" t="inlineStr">
        <is>
          <t>RIGHE MEMO — fuori da ogni totale</t>
        </is>
      </c>
    </row>
    <row r="219">
      <c r="A219" s="2" t="inlineStr">
        <is>
          <t>memo</t>
        </is>
      </c>
      <c r="B219" s="2" t="inlineStr">
        <is>
          <t xml:space="preserve">   Totale manodopera — 28 · 29 · 26.03 · 26.05 · 26.06 · 40.3.03</t>
        </is>
      </c>
      <c r="C219" s="20">
        <f>C54+C87+C193</f>
        <v/>
      </c>
      <c r="D219" s="20">
        <f>D54+D87+D193</f>
        <v/>
      </c>
      <c r="E219" s="20">
        <f>E54+E87+E193</f>
        <v/>
      </c>
      <c r="F219" s="20">
        <f>F54+F87+F193</f>
        <v/>
      </c>
      <c r="G219" s="20">
        <f>G54+G87+G193</f>
        <v/>
      </c>
      <c r="H219" s="20">
        <f>H54+H87+H193</f>
        <v/>
      </c>
      <c r="I219" s="20">
        <f>I54+I87+I193</f>
        <v/>
      </c>
      <c r="J219" s="20">
        <f>J54+J87+J193</f>
        <v/>
      </c>
      <c r="K219" s="20">
        <f>K54+K87+K193</f>
        <v/>
      </c>
      <c r="L219" s="20">
        <f>L54+L87+L193</f>
        <v/>
      </c>
      <c r="M219" s="20">
        <f>M54+M87+M193</f>
        <v/>
      </c>
      <c r="N219" s="20">
        <f>N54+N87+N193</f>
        <v/>
      </c>
      <c r="O219" s="20">
        <f>O54+O87+O193</f>
        <v/>
      </c>
    </row>
    <row r="220">
      <c r="A220" s="2" t="inlineStr">
        <is>
          <t>memo</t>
        </is>
      </c>
      <c r="B220" s="2" t="inlineStr">
        <is>
          <t xml:space="preserve">   Margine eventi — ricavi eventi meno costi diretti eventi</t>
        </is>
      </c>
      <c r="C220" s="20">
        <f>C9+C83</f>
        <v/>
      </c>
      <c r="D220" s="20">
        <f>D9+D83</f>
        <v/>
      </c>
      <c r="E220" s="20">
        <f>E9+E83</f>
        <v/>
      </c>
      <c r="F220" s="20">
        <f>F9+F83</f>
        <v/>
      </c>
      <c r="G220" s="20">
        <f>G9+G83</f>
        <v/>
      </c>
      <c r="H220" s="20">
        <f>H9+H83</f>
        <v/>
      </c>
      <c r="I220" s="20">
        <f>I9+I83</f>
        <v/>
      </c>
      <c r="J220" s="20">
        <f>J9+J83</f>
        <v/>
      </c>
      <c r="K220" s="20">
        <f>K9+K83</f>
        <v/>
      </c>
      <c r="L220" s="20">
        <f>L9+L83</f>
        <v/>
      </c>
      <c r="M220" s="20">
        <f>M9+M83</f>
        <v/>
      </c>
      <c r="N220" s="20">
        <f>N9+N83</f>
        <v/>
      </c>
      <c r="O220" s="20">
        <f>O9+O83</f>
        <v/>
      </c>
    </row>
    <row r="221">
      <c r="A221" s="2" t="inlineStr">
        <is>
          <t>memo</t>
        </is>
      </c>
      <c r="B221" s="2" t="inlineStr">
        <is>
          <t xml:space="preserve">   Tesoreria interna — 40.4 versamenti e giroconti: devono elidersi</t>
        </is>
      </c>
      <c r="C221" s="21" t="n"/>
      <c r="D221" s="21" t="n"/>
      <c r="E221" s="21" t="n"/>
      <c r="F221" s="21" t="n"/>
      <c r="G221" s="21" t="n"/>
      <c r="H221" s="21" t="n"/>
      <c r="I221" s="21" t="n"/>
      <c r="J221" s="21" t="n"/>
      <c r="K221" s="21" t="n"/>
      <c r="L221" s="21" t="n"/>
      <c r="M221" s="21" t="n"/>
      <c r="N221" s="21" t="n"/>
      <c r="O221" s="21">
        <f>SUM(C221:N221)</f>
        <v/>
      </c>
    </row>
    <row r="224">
      <c r="B224" s="19" t="inlineStr">
        <is>
          <t>CONTROLLI DI QUADRATURA</t>
        </is>
      </c>
    </row>
    <row r="225">
      <c r="A225" s="2" t="inlineStr">
        <is>
          <t>C1</t>
        </is>
      </c>
      <c r="B225" s="2" t="inlineStr">
        <is>
          <t xml:space="preserve">   Variazione del prospetto meno variazione reale dei saldi</t>
        </is>
      </c>
      <c r="C225" s="21" t="n"/>
      <c r="D225" s="21" t="n"/>
      <c r="E225" s="21" t="n"/>
      <c r="F225" s="21" t="n"/>
      <c r="G225" s="21" t="n"/>
      <c r="H225" s="21" t="n"/>
      <c r="I225" s="21" t="n"/>
      <c r="J225" s="21" t="n"/>
      <c r="K225" s="21" t="n"/>
      <c r="L225" s="21" t="n"/>
      <c r="M225" s="21" t="n"/>
      <c r="N225" s="21" t="n"/>
      <c r="O225" s="21">
        <f>SUM(C225:N225)</f>
        <v/>
      </c>
      <c r="P225" s="2" t="inlineStr">
        <is>
          <t>deve essere zero: se non lo e', ci sono voci non mappate</t>
        </is>
      </c>
    </row>
    <row r="226">
      <c r="A226" s="2" t="inlineStr">
        <is>
          <t>C2</t>
        </is>
      </c>
      <c r="B226" s="2" t="inlineStr">
        <is>
          <t xml:space="preserve">   Versamenti contanti: gamba banca piu' gamba cassa</t>
        </is>
      </c>
      <c r="C226" s="21" t="n"/>
      <c r="D226" s="21" t="n"/>
      <c r="E226" s="21" t="n"/>
      <c r="F226" s="21" t="n"/>
      <c r="G226" s="21" t="n"/>
      <c r="H226" s="21" t="n"/>
      <c r="I226" s="21" t="n"/>
      <c r="J226" s="21" t="n"/>
      <c r="K226" s="21" t="n"/>
      <c r="L226" s="21" t="n"/>
      <c r="M226" s="21" t="n"/>
      <c r="N226" s="21" t="n"/>
      <c r="O226" s="21">
        <f>SUM(C226:N226)</f>
        <v/>
      </c>
      <c r="P226" s="2" t="inlineStr">
        <is>
          <t>deve essere zero: le due gambe si elidono</t>
        </is>
      </c>
    </row>
    <row r="227">
      <c r="A227" s="2" t="inlineStr">
        <is>
          <t>C3</t>
        </is>
      </c>
      <c r="B227" s="2" t="inlineStr">
        <is>
          <t xml:space="preserve">   Movimenti senza voce di conto (numero)</t>
        </is>
      </c>
      <c r="C227" s="21" t="n"/>
      <c r="D227" s="21" t="n"/>
      <c r="E227" s="21" t="n"/>
      <c r="F227" s="21" t="n"/>
      <c r="G227" s="21" t="n"/>
      <c r="H227" s="21" t="n"/>
      <c r="I227" s="21" t="n"/>
      <c r="J227" s="21" t="n"/>
      <c r="K227" s="21" t="n"/>
      <c r="L227" s="21" t="n"/>
      <c r="M227" s="21" t="n"/>
      <c r="N227" s="21" t="n"/>
      <c r="O227" s="21">
        <f>SUM(C227:N227)</f>
        <v/>
      </c>
      <c r="P227" s="2" t="inlineStr">
        <is>
          <t>deve essere zero: righe non categorizzate spariscono dal prospetto</t>
        </is>
      </c>
    </row>
    <row r="228">
      <c r="A228" s="2" t="inlineStr">
        <is>
          <t>C4</t>
        </is>
      </c>
      <c r="B228" s="2" t="inlineStr">
        <is>
          <t xml:space="preserve">   Movimenti su conti fuori piano o inattivi (numero)</t>
        </is>
      </c>
      <c r="C228" s="21" t="n"/>
      <c r="D228" s="21" t="n"/>
      <c r="E228" s="21" t="n"/>
      <c r="F228" s="21" t="n"/>
      <c r="G228" s="21" t="n"/>
      <c r="H228" s="21" t="n"/>
      <c r="I228" s="21" t="n"/>
      <c r="J228" s="21" t="n"/>
      <c r="K228" s="21" t="n"/>
      <c r="L228" s="21" t="n"/>
      <c r="M228" s="21" t="n"/>
      <c r="N228" s="21" t="n"/>
      <c r="O228" s="21">
        <f>SUM(C228:N228)</f>
        <v/>
      </c>
      <c r="P228" s="2" t="inlineStr">
        <is>
          <t>deve essere zero: etichette duplicate o conti legacy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SCOSTAMENTO — consuntivo contro budget</t>
        </is>
      </c>
    </row>
    <row r="2">
      <c r="A2" s="2" t="inlineStr">
        <is>
          <t>Differenza in euro e in percentuale. Le righe rispecchiano una per una quelle di CASH FLOW e BUDGET: stessa altezza, stessi codici.</t>
        </is>
      </c>
    </row>
    <row r="4" ht="22" customHeight="1">
      <c r="A4" s="3" t="inlineStr">
        <is>
          <t>Codice</t>
        </is>
      </c>
      <c r="B4" s="3" t="inlineStr">
        <is>
          <t>Voce</t>
        </is>
      </c>
      <c r="C4" s="8" t="inlineStr">
        <is>
          <t>GEN</t>
        </is>
      </c>
      <c r="D4" s="8" t="inlineStr">
        <is>
          <t>FEB</t>
        </is>
      </c>
      <c r="E4" s="8" t="inlineStr">
        <is>
          <t>MAR</t>
        </is>
      </c>
      <c r="F4" s="8" t="inlineStr">
        <is>
          <t>APR</t>
        </is>
      </c>
      <c r="G4" s="8" t="inlineStr">
        <is>
          <t>MAG</t>
        </is>
      </c>
      <c r="H4" s="8" t="inlineStr">
        <is>
          <t>GIU</t>
        </is>
      </c>
      <c r="I4" s="8" t="inlineStr">
        <is>
          <t>LUG</t>
        </is>
      </c>
      <c r="J4" s="8" t="inlineStr">
        <is>
          <t>AGO</t>
        </is>
      </c>
      <c r="K4" s="8" t="inlineStr">
        <is>
          <t>SET</t>
        </is>
      </c>
      <c r="L4" s="8" t="inlineStr">
        <is>
          <t>OTT</t>
        </is>
      </c>
      <c r="M4" s="8" t="inlineStr">
        <is>
          <t>NOV</t>
        </is>
      </c>
      <c r="N4" s="8" t="inlineStr">
        <is>
          <t>DIC</t>
        </is>
      </c>
      <c r="O4" s="8" t="inlineStr">
        <is>
          <t>TOTALE</t>
        </is>
      </c>
      <c r="P4" s="8" t="inlineStr"/>
      <c r="Q4" s="8" t="inlineStr">
        <is>
          <t>Scost. %</t>
        </is>
      </c>
    </row>
    <row r="5">
      <c r="A5" s="13">
        <f>'CASH FLOW'!A5</f>
        <v/>
      </c>
      <c r="B5" s="13">
        <f>'CASH FLOW'!B5</f>
        <v/>
      </c>
      <c r="C5" s="22">
        <f>IF(AND('CASH FLOW'!C5=0,BUDGET!C5=0),"",'CASH FLOW'!C5-BUDGET!C5)</f>
        <v/>
      </c>
      <c r="D5" s="22">
        <f>IF(AND('CASH FLOW'!D5=0,BUDGET!D5=0),"",'CASH FLOW'!D5-BUDGET!D5)</f>
        <v/>
      </c>
      <c r="E5" s="22">
        <f>IF(AND('CASH FLOW'!E5=0,BUDGET!E5=0),"",'CASH FLOW'!E5-BUDGET!E5)</f>
        <v/>
      </c>
      <c r="F5" s="22">
        <f>IF(AND('CASH FLOW'!F5=0,BUDGET!F5=0),"",'CASH FLOW'!F5-BUDGET!F5)</f>
        <v/>
      </c>
      <c r="G5" s="22">
        <f>IF(AND('CASH FLOW'!G5=0,BUDGET!G5=0),"",'CASH FLOW'!G5-BUDGET!G5)</f>
        <v/>
      </c>
      <c r="H5" s="22">
        <f>IF(AND('CASH FLOW'!H5=0,BUDGET!H5=0),"",'CASH FLOW'!H5-BUDGET!H5)</f>
        <v/>
      </c>
      <c r="I5" s="22">
        <f>IF(AND('CASH FLOW'!I5=0,BUDGET!I5=0),"",'CASH FLOW'!I5-BUDGET!I5)</f>
        <v/>
      </c>
      <c r="J5" s="22">
        <f>IF(AND('CASH FLOW'!J5=0,BUDGET!J5=0),"",'CASH FLOW'!J5-BUDGET!J5)</f>
        <v/>
      </c>
      <c r="K5" s="22">
        <f>IF(AND('CASH FLOW'!K5=0,BUDGET!K5=0),"",'CASH FLOW'!K5-BUDGET!K5)</f>
        <v/>
      </c>
      <c r="L5" s="22">
        <f>IF(AND('CASH FLOW'!L5=0,BUDGET!L5=0),"",'CASH FLOW'!L5-BUDGET!L5)</f>
        <v/>
      </c>
      <c r="M5" s="22">
        <f>IF(AND('CASH FLOW'!M5=0,BUDGET!M5=0),"",'CASH FLOW'!M5-BUDGET!M5)</f>
        <v/>
      </c>
      <c r="N5" s="22">
        <f>IF(AND('CASH FLOW'!N5=0,BUDGET!N5=0),"",'CASH FLOW'!N5-BUDGET!N5)</f>
        <v/>
      </c>
      <c r="O5" s="22">
        <f>IF(AND('CASH FLOW'!O5=0,BUDGET!O5=0),"",'CASH FLOW'!O5-BUDGET!O5)</f>
        <v/>
      </c>
      <c r="Q5" s="23">
        <f>IF(BUDGET!O5=0,"",('CASH FLOW'!O5-BUDGET!O5)/ABS(BUDGET!O5))</f>
        <v/>
      </c>
    </row>
    <row r="6">
      <c r="A6" s="13">
        <f>'CASH FLOW'!A6</f>
        <v/>
      </c>
      <c r="B6" s="13">
        <f>'CASH FLOW'!B6</f>
        <v/>
      </c>
      <c r="C6" s="22">
        <f>IF(AND('CASH FLOW'!C6=0,BUDGET!C6=0),"",'CASH FLOW'!C6-BUDGET!C6)</f>
        <v/>
      </c>
      <c r="D6" s="22">
        <f>IF(AND('CASH FLOW'!D6=0,BUDGET!D6=0),"",'CASH FLOW'!D6-BUDGET!D6)</f>
        <v/>
      </c>
      <c r="E6" s="22">
        <f>IF(AND('CASH FLOW'!E6=0,BUDGET!E6=0),"",'CASH FLOW'!E6-BUDGET!E6)</f>
        <v/>
      </c>
      <c r="F6" s="22">
        <f>IF(AND('CASH FLOW'!F6=0,BUDGET!F6=0),"",'CASH FLOW'!F6-BUDGET!F6)</f>
        <v/>
      </c>
      <c r="G6" s="22">
        <f>IF(AND('CASH FLOW'!G6=0,BUDGET!G6=0),"",'CASH FLOW'!G6-BUDGET!G6)</f>
        <v/>
      </c>
      <c r="H6" s="22">
        <f>IF(AND('CASH FLOW'!H6=0,BUDGET!H6=0),"",'CASH FLOW'!H6-BUDGET!H6)</f>
        <v/>
      </c>
      <c r="I6" s="22">
        <f>IF(AND('CASH FLOW'!I6=0,BUDGET!I6=0),"",'CASH FLOW'!I6-BUDGET!I6)</f>
        <v/>
      </c>
      <c r="J6" s="22">
        <f>IF(AND('CASH FLOW'!J6=0,BUDGET!J6=0),"",'CASH FLOW'!J6-BUDGET!J6)</f>
        <v/>
      </c>
      <c r="K6" s="22">
        <f>IF(AND('CASH FLOW'!K6=0,BUDGET!K6=0),"",'CASH FLOW'!K6-BUDGET!K6)</f>
        <v/>
      </c>
      <c r="L6" s="22">
        <f>IF(AND('CASH FLOW'!L6=0,BUDGET!L6=0),"",'CASH FLOW'!L6-BUDGET!L6)</f>
        <v/>
      </c>
      <c r="M6" s="22">
        <f>IF(AND('CASH FLOW'!M6=0,BUDGET!M6=0),"",'CASH FLOW'!M6-BUDGET!M6)</f>
        <v/>
      </c>
      <c r="N6" s="22">
        <f>IF(AND('CASH FLOW'!N6=0,BUDGET!N6=0),"",'CASH FLOW'!N6-BUDGET!N6)</f>
        <v/>
      </c>
      <c r="O6" s="22">
        <f>IF(AND('CASH FLOW'!O6=0,BUDGET!O6=0),"",'CASH FLOW'!O6-BUDGET!O6)</f>
        <v/>
      </c>
      <c r="Q6" s="23">
        <f>IF(BUDGET!O6=0,"",('CASH FLOW'!O6-BUDGET!O6)/ABS(BUDGET!O6))</f>
        <v/>
      </c>
    </row>
    <row r="7">
      <c r="A7" s="13">
        <f>'CASH FLOW'!A7</f>
        <v/>
      </c>
      <c r="B7" s="13">
        <f>'CASH FLOW'!B7</f>
        <v/>
      </c>
      <c r="C7" s="22">
        <f>IF(AND('CASH FLOW'!C7=0,BUDGET!C7=0),"",'CASH FLOW'!C7-BUDGET!C7)</f>
        <v/>
      </c>
      <c r="D7" s="22">
        <f>IF(AND('CASH FLOW'!D7=0,BUDGET!D7=0),"",'CASH FLOW'!D7-BUDGET!D7)</f>
        <v/>
      </c>
      <c r="E7" s="22">
        <f>IF(AND('CASH FLOW'!E7=0,BUDGET!E7=0),"",'CASH FLOW'!E7-BUDGET!E7)</f>
        <v/>
      </c>
      <c r="F7" s="22">
        <f>IF(AND('CASH FLOW'!F7=0,BUDGET!F7=0),"",'CASH FLOW'!F7-BUDGET!F7)</f>
        <v/>
      </c>
      <c r="G7" s="22">
        <f>IF(AND('CASH FLOW'!G7=0,BUDGET!G7=0),"",'CASH FLOW'!G7-BUDGET!G7)</f>
        <v/>
      </c>
      <c r="H7" s="22">
        <f>IF(AND('CASH FLOW'!H7=0,BUDGET!H7=0),"",'CASH FLOW'!H7-BUDGET!H7)</f>
        <v/>
      </c>
      <c r="I7" s="22">
        <f>IF(AND('CASH FLOW'!I7=0,BUDGET!I7=0),"",'CASH FLOW'!I7-BUDGET!I7)</f>
        <v/>
      </c>
      <c r="J7" s="22">
        <f>IF(AND('CASH FLOW'!J7=0,BUDGET!J7=0),"",'CASH FLOW'!J7-BUDGET!J7)</f>
        <v/>
      </c>
      <c r="K7" s="22">
        <f>IF(AND('CASH FLOW'!K7=0,BUDGET!K7=0),"",'CASH FLOW'!K7-BUDGET!K7)</f>
        <v/>
      </c>
      <c r="L7" s="22">
        <f>IF(AND('CASH FLOW'!L7=0,BUDGET!L7=0),"",'CASH FLOW'!L7-BUDGET!L7)</f>
        <v/>
      </c>
      <c r="M7" s="22">
        <f>IF(AND('CASH FLOW'!M7=0,BUDGET!M7=0),"",'CASH FLOW'!M7-BUDGET!M7)</f>
        <v/>
      </c>
      <c r="N7" s="22">
        <f>IF(AND('CASH FLOW'!N7=0,BUDGET!N7=0),"",'CASH FLOW'!N7-BUDGET!N7)</f>
        <v/>
      </c>
      <c r="O7" s="22">
        <f>IF(AND('CASH FLOW'!O7=0,BUDGET!O7=0),"",'CASH FLOW'!O7-BUDGET!O7)</f>
        <v/>
      </c>
      <c r="Q7" s="23">
        <f>IF(BUDGET!O7=0,"",('CASH FLOW'!O7-BUDGET!O7)/ABS(BUDGET!O7))</f>
        <v/>
      </c>
    </row>
    <row r="8">
      <c r="A8" s="13">
        <f>'CASH FLOW'!A8</f>
        <v/>
      </c>
      <c r="B8" s="13">
        <f>'CASH FLOW'!B8</f>
        <v/>
      </c>
      <c r="C8" s="22">
        <f>IF(AND('CASH FLOW'!C8=0,BUDGET!C8=0),"",'CASH FLOW'!C8-BUDGET!C8)</f>
        <v/>
      </c>
      <c r="D8" s="22">
        <f>IF(AND('CASH FLOW'!D8=0,BUDGET!D8=0),"",'CASH FLOW'!D8-BUDGET!D8)</f>
        <v/>
      </c>
      <c r="E8" s="22">
        <f>IF(AND('CASH FLOW'!E8=0,BUDGET!E8=0),"",'CASH FLOW'!E8-BUDGET!E8)</f>
        <v/>
      </c>
      <c r="F8" s="22">
        <f>IF(AND('CASH FLOW'!F8=0,BUDGET!F8=0),"",'CASH FLOW'!F8-BUDGET!F8)</f>
        <v/>
      </c>
      <c r="G8" s="22">
        <f>IF(AND('CASH FLOW'!G8=0,BUDGET!G8=0),"",'CASH FLOW'!G8-BUDGET!G8)</f>
        <v/>
      </c>
      <c r="H8" s="22">
        <f>IF(AND('CASH FLOW'!H8=0,BUDGET!H8=0),"",'CASH FLOW'!H8-BUDGET!H8)</f>
        <v/>
      </c>
      <c r="I8" s="22">
        <f>IF(AND('CASH FLOW'!I8=0,BUDGET!I8=0),"",'CASH FLOW'!I8-BUDGET!I8)</f>
        <v/>
      </c>
      <c r="J8" s="22">
        <f>IF(AND('CASH FLOW'!J8=0,BUDGET!J8=0),"",'CASH FLOW'!J8-BUDGET!J8)</f>
        <v/>
      </c>
      <c r="K8" s="22">
        <f>IF(AND('CASH FLOW'!K8=0,BUDGET!K8=0),"",'CASH FLOW'!K8-BUDGET!K8)</f>
        <v/>
      </c>
      <c r="L8" s="22">
        <f>IF(AND('CASH FLOW'!L8=0,BUDGET!L8=0),"",'CASH FLOW'!L8-BUDGET!L8)</f>
        <v/>
      </c>
      <c r="M8" s="22">
        <f>IF(AND('CASH FLOW'!M8=0,BUDGET!M8=0),"",'CASH FLOW'!M8-BUDGET!M8)</f>
        <v/>
      </c>
      <c r="N8" s="22">
        <f>IF(AND('CASH FLOW'!N8=0,BUDGET!N8=0),"",'CASH FLOW'!N8-BUDGET!N8)</f>
        <v/>
      </c>
      <c r="O8" s="22">
        <f>IF(AND('CASH FLOW'!O8=0,BUDGET!O8=0),"",'CASH FLOW'!O8-BUDGET!O8)</f>
        <v/>
      </c>
      <c r="Q8" s="23">
        <f>IF(BUDGET!O8=0,"",('CASH FLOW'!O8-BUDGET!O8)/ABS(BUDGET!O8))</f>
        <v/>
      </c>
    </row>
    <row r="9">
      <c r="A9" s="13">
        <f>'CASH FLOW'!A9</f>
        <v/>
      </c>
      <c r="B9" s="13">
        <f>'CASH FLOW'!B9</f>
        <v/>
      </c>
      <c r="C9" s="22">
        <f>IF(AND('CASH FLOW'!C9=0,BUDGET!C9=0),"",'CASH FLOW'!C9-BUDGET!C9)</f>
        <v/>
      </c>
      <c r="D9" s="22">
        <f>IF(AND('CASH FLOW'!D9=0,BUDGET!D9=0),"",'CASH FLOW'!D9-BUDGET!D9)</f>
        <v/>
      </c>
      <c r="E9" s="22">
        <f>IF(AND('CASH FLOW'!E9=0,BUDGET!E9=0),"",'CASH FLOW'!E9-BUDGET!E9)</f>
        <v/>
      </c>
      <c r="F9" s="22">
        <f>IF(AND('CASH FLOW'!F9=0,BUDGET!F9=0),"",'CASH FLOW'!F9-BUDGET!F9)</f>
        <v/>
      </c>
      <c r="G9" s="22">
        <f>IF(AND('CASH FLOW'!G9=0,BUDGET!G9=0),"",'CASH FLOW'!G9-BUDGET!G9)</f>
        <v/>
      </c>
      <c r="H9" s="22">
        <f>IF(AND('CASH FLOW'!H9=0,BUDGET!H9=0),"",'CASH FLOW'!H9-BUDGET!H9)</f>
        <v/>
      </c>
      <c r="I9" s="22">
        <f>IF(AND('CASH FLOW'!I9=0,BUDGET!I9=0),"",'CASH FLOW'!I9-BUDGET!I9)</f>
        <v/>
      </c>
      <c r="J9" s="22">
        <f>IF(AND('CASH FLOW'!J9=0,BUDGET!J9=0),"",'CASH FLOW'!J9-BUDGET!J9)</f>
        <v/>
      </c>
      <c r="K9" s="22">
        <f>IF(AND('CASH FLOW'!K9=0,BUDGET!K9=0),"",'CASH FLOW'!K9-BUDGET!K9)</f>
        <v/>
      </c>
      <c r="L9" s="22">
        <f>IF(AND('CASH FLOW'!L9=0,BUDGET!L9=0),"",'CASH FLOW'!L9-BUDGET!L9)</f>
        <v/>
      </c>
      <c r="M9" s="22">
        <f>IF(AND('CASH FLOW'!M9=0,BUDGET!M9=0),"",'CASH FLOW'!M9-BUDGET!M9)</f>
        <v/>
      </c>
      <c r="N9" s="22">
        <f>IF(AND('CASH FLOW'!N9=0,BUDGET!N9=0),"",'CASH FLOW'!N9-BUDGET!N9)</f>
        <v/>
      </c>
      <c r="O9" s="22">
        <f>IF(AND('CASH FLOW'!O9=0,BUDGET!O9=0),"",'CASH FLOW'!O9-BUDGET!O9)</f>
        <v/>
      </c>
      <c r="Q9" s="23">
        <f>IF(BUDGET!O9=0,"",('CASH FLOW'!O9-BUDGET!O9)/ABS(BUDGET!O9))</f>
        <v/>
      </c>
    </row>
    <row r="10">
      <c r="A10" s="13">
        <f>'CASH FLOW'!A10</f>
        <v/>
      </c>
      <c r="B10" s="13">
        <f>'CASH FLOW'!B10</f>
        <v/>
      </c>
      <c r="C10" s="22">
        <f>IF(AND('CASH FLOW'!C10=0,BUDGET!C10=0),"",'CASH FLOW'!C10-BUDGET!C10)</f>
        <v/>
      </c>
      <c r="D10" s="22">
        <f>IF(AND('CASH FLOW'!D10=0,BUDGET!D10=0),"",'CASH FLOW'!D10-BUDGET!D10)</f>
        <v/>
      </c>
      <c r="E10" s="22">
        <f>IF(AND('CASH FLOW'!E10=0,BUDGET!E10=0),"",'CASH FLOW'!E10-BUDGET!E10)</f>
        <v/>
      </c>
      <c r="F10" s="22">
        <f>IF(AND('CASH FLOW'!F10=0,BUDGET!F10=0),"",'CASH FLOW'!F10-BUDGET!F10)</f>
        <v/>
      </c>
      <c r="G10" s="22">
        <f>IF(AND('CASH FLOW'!G10=0,BUDGET!G10=0),"",'CASH FLOW'!G10-BUDGET!G10)</f>
        <v/>
      </c>
      <c r="H10" s="22">
        <f>IF(AND('CASH FLOW'!H10=0,BUDGET!H10=0),"",'CASH FLOW'!H10-BUDGET!H10)</f>
        <v/>
      </c>
      <c r="I10" s="22">
        <f>IF(AND('CASH FLOW'!I10=0,BUDGET!I10=0),"",'CASH FLOW'!I10-BUDGET!I10)</f>
        <v/>
      </c>
      <c r="J10" s="22">
        <f>IF(AND('CASH FLOW'!J10=0,BUDGET!J10=0),"",'CASH FLOW'!J10-BUDGET!J10)</f>
        <v/>
      </c>
      <c r="K10" s="22">
        <f>IF(AND('CASH FLOW'!K10=0,BUDGET!K10=0),"",'CASH FLOW'!K10-BUDGET!K10)</f>
        <v/>
      </c>
      <c r="L10" s="22">
        <f>IF(AND('CASH FLOW'!L10=0,BUDGET!L10=0),"",'CASH FLOW'!L10-BUDGET!L10)</f>
        <v/>
      </c>
      <c r="M10" s="22">
        <f>IF(AND('CASH FLOW'!M10=0,BUDGET!M10=0),"",'CASH FLOW'!M10-BUDGET!M10)</f>
        <v/>
      </c>
      <c r="N10" s="22">
        <f>IF(AND('CASH FLOW'!N10=0,BUDGET!N10=0),"",'CASH FLOW'!N10-BUDGET!N10)</f>
        <v/>
      </c>
      <c r="O10" s="22">
        <f>IF(AND('CASH FLOW'!O10=0,BUDGET!O10=0),"",'CASH FLOW'!O10-BUDGET!O10)</f>
        <v/>
      </c>
      <c r="Q10" s="23">
        <f>IF(BUDGET!O10=0,"",('CASH FLOW'!O10-BUDGET!O10)/ABS(BUDGET!O10))</f>
        <v/>
      </c>
    </row>
    <row r="11">
      <c r="A11" s="13">
        <f>'CASH FLOW'!A11</f>
        <v/>
      </c>
      <c r="B11" s="13">
        <f>'CASH FLOW'!B11</f>
        <v/>
      </c>
      <c r="C11" s="22">
        <f>IF(AND('CASH FLOW'!C11=0,BUDGET!C11=0),"",'CASH FLOW'!C11-BUDGET!C11)</f>
        <v/>
      </c>
      <c r="D11" s="22">
        <f>IF(AND('CASH FLOW'!D11=0,BUDGET!D11=0),"",'CASH FLOW'!D11-BUDGET!D11)</f>
        <v/>
      </c>
      <c r="E11" s="22">
        <f>IF(AND('CASH FLOW'!E11=0,BUDGET!E11=0),"",'CASH FLOW'!E11-BUDGET!E11)</f>
        <v/>
      </c>
      <c r="F11" s="22">
        <f>IF(AND('CASH FLOW'!F11=0,BUDGET!F11=0),"",'CASH FLOW'!F11-BUDGET!F11)</f>
        <v/>
      </c>
      <c r="G11" s="22">
        <f>IF(AND('CASH FLOW'!G11=0,BUDGET!G11=0),"",'CASH FLOW'!G11-BUDGET!G11)</f>
        <v/>
      </c>
      <c r="H11" s="22">
        <f>IF(AND('CASH FLOW'!H11=0,BUDGET!H11=0),"",'CASH FLOW'!H11-BUDGET!H11)</f>
        <v/>
      </c>
      <c r="I11" s="22">
        <f>IF(AND('CASH FLOW'!I11=0,BUDGET!I11=0),"",'CASH FLOW'!I11-BUDGET!I11)</f>
        <v/>
      </c>
      <c r="J11" s="22">
        <f>IF(AND('CASH FLOW'!J11=0,BUDGET!J11=0),"",'CASH FLOW'!J11-BUDGET!J11)</f>
        <v/>
      </c>
      <c r="K11" s="22">
        <f>IF(AND('CASH FLOW'!K11=0,BUDGET!K11=0),"",'CASH FLOW'!K11-BUDGET!K11)</f>
        <v/>
      </c>
      <c r="L11" s="22">
        <f>IF(AND('CASH FLOW'!L11=0,BUDGET!L11=0),"",'CASH FLOW'!L11-BUDGET!L11)</f>
        <v/>
      </c>
      <c r="M11" s="22">
        <f>IF(AND('CASH FLOW'!M11=0,BUDGET!M11=0),"",'CASH FLOW'!M11-BUDGET!M11)</f>
        <v/>
      </c>
      <c r="N11" s="22">
        <f>IF(AND('CASH FLOW'!N11=0,BUDGET!N11=0),"",'CASH FLOW'!N11-BUDGET!N11)</f>
        <v/>
      </c>
      <c r="O11" s="22">
        <f>IF(AND('CASH FLOW'!O11=0,BUDGET!O11=0),"",'CASH FLOW'!O11-BUDGET!O11)</f>
        <v/>
      </c>
      <c r="Q11" s="23">
        <f>IF(BUDGET!O11=0,"",('CASH FLOW'!O11-BUDGET!O11)/ABS(BUDGET!O11))</f>
        <v/>
      </c>
    </row>
    <row r="12">
      <c r="A12" s="13">
        <f>'CASH FLOW'!A12</f>
        <v/>
      </c>
      <c r="B12" s="13">
        <f>'CASH FLOW'!B12</f>
        <v/>
      </c>
      <c r="C12" s="22">
        <f>IF(AND('CASH FLOW'!C12=0,BUDGET!C12=0),"",'CASH FLOW'!C12-BUDGET!C12)</f>
        <v/>
      </c>
      <c r="D12" s="22">
        <f>IF(AND('CASH FLOW'!D12=0,BUDGET!D12=0),"",'CASH FLOW'!D12-BUDGET!D12)</f>
        <v/>
      </c>
      <c r="E12" s="22">
        <f>IF(AND('CASH FLOW'!E12=0,BUDGET!E12=0),"",'CASH FLOW'!E12-BUDGET!E12)</f>
        <v/>
      </c>
      <c r="F12" s="22">
        <f>IF(AND('CASH FLOW'!F12=0,BUDGET!F12=0),"",'CASH FLOW'!F12-BUDGET!F12)</f>
        <v/>
      </c>
      <c r="G12" s="22">
        <f>IF(AND('CASH FLOW'!G12=0,BUDGET!G12=0),"",'CASH FLOW'!G12-BUDGET!G12)</f>
        <v/>
      </c>
      <c r="H12" s="22">
        <f>IF(AND('CASH FLOW'!H12=0,BUDGET!H12=0),"",'CASH FLOW'!H12-BUDGET!H12)</f>
        <v/>
      </c>
      <c r="I12" s="22">
        <f>IF(AND('CASH FLOW'!I12=0,BUDGET!I12=0),"",'CASH FLOW'!I12-BUDGET!I12)</f>
        <v/>
      </c>
      <c r="J12" s="22">
        <f>IF(AND('CASH FLOW'!J12=0,BUDGET!J12=0),"",'CASH FLOW'!J12-BUDGET!J12)</f>
        <v/>
      </c>
      <c r="K12" s="22">
        <f>IF(AND('CASH FLOW'!K12=0,BUDGET!K12=0),"",'CASH FLOW'!K12-BUDGET!K12)</f>
        <v/>
      </c>
      <c r="L12" s="22">
        <f>IF(AND('CASH FLOW'!L12=0,BUDGET!L12=0),"",'CASH FLOW'!L12-BUDGET!L12)</f>
        <v/>
      </c>
      <c r="M12" s="22">
        <f>IF(AND('CASH FLOW'!M12=0,BUDGET!M12=0),"",'CASH FLOW'!M12-BUDGET!M12)</f>
        <v/>
      </c>
      <c r="N12" s="22">
        <f>IF(AND('CASH FLOW'!N12=0,BUDGET!N12=0),"",'CASH FLOW'!N12-BUDGET!N12)</f>
        <v/>
      </c>
      <c r="O12" s="22">
        <f>IF(AND('CASH FLOW'!O12=0,BUDGET!O12=0),"",'CASH FLOW'!O12-BUDGET!O12)</f>
        <v/>
      </c>
      <c r="Q12" s="23">
        <f>IF(BUDGET!O12=0,"",('CASH FLOW'!O12-BUDGET!O12)/ABS(BUDGET!O12))</f>
        <v/>
      </c>
    </row>
    <row r="13">
      <c r="A13" s="13">
        <f>'CASH FLOW'!A13</f>
        <v/>
      </c>
      <c r="B13" s="13">
        <f>'CASH FLOW'!B13</f>
        <v/>
      </c>
      <c r="C13" s="22">
        <f>IF(AND('CASH FLOW'!C13=0,BUDGET!C13=0),"",'CASH FLOW'!C13-BUDGET!C13)</f>
        <v/>
      </c>
      <c r="D13" s="22">
        <f>IF(AND('CASH FLOW'!D13=0,BUDGET!D13=0),"",'CASH FLOW'!D13-BUDGET!D13)</f>
        <v/>
      </c>
      <c r="E13" s="22">
        <f>IF(AND('CASH FLOW'!E13=0,BUDGET!E13=0),"",'CASH FLOW'!E13-BUDGET!E13)</f>
        <v/>
      </c>
      <c r="F13" s="22">
        <f>IF(AND('CASH FLOW'!F13=0,BUDGET!F13=0),"",'CASH FLOW'!F13-BUDGET!F13)</f>
        <v/>
      </c>
      <c r="G13" s="22">
        <f>IF(AND('CASH FLOW'!G13=0,BUDGET!G13=0),"",'CASH FLOW'!G13-BUDGET!G13)</f>
        <v/>
      </c>
      <c r="H13" s="22">
        <f>IF(AND('CASH FLOW'!H13=0,BUDGET!H13=0),"",'CASH FLOW'!H13-BUDGET!H13)</f>
        <v/>
      </c>
      <c r="I13" s="22">
        <f>IF(AND('CASH FLOW'!I13=0,BUDGET!I13=0),"",'CASH FLOW'!I13-BUDGET!I13)</f>
        <v/>
      </c>
      <c r="J13" s="22">
        <f>IF(AND('CASH FLOW'!J13=0,BUDGET!J13=0),"",'CASH FLOW'!J13-BUDGET!J13)</f>
        <v/>
      </c>
      <c r="K13" s="22">
        <f>IF(AND('CASH FLOW'!K13=0,BUDGET!K13=0),"",'CASH FLOW'!K13-BUDGET!K13)</f>
        <v/>
      </c>
      <c r="L13" s="22">
        <f>IF(AND('CASH FLOW'!L13=0,BUDGET!L13=0),"",'CASH FLOW'!L13-BUDGET!L13)</f>
        <v/>
      </c>
      <c r="M13" s="22">
        <f>IF(AND('CASH FLOW'!M13=0,BUDGET!M13=0),"",'CASH FLOW'!M13-BUDGET!M13)</f>
        <v/>
      </c>
      <c r="N13" s="22">
        <f>IF(AND('CASH FLOW'!N13=0,BUDGET!N13=0),"",'CASH FLOW'!N13-BUDGET!N13)</f>
        <v/>
      </c>
      <c r="O13" s="22">
        <f>IF(AND('CASH FLOW'!O13=0,BUDGET!O13=0),"",'CASH FLOW'!O13-BUDGET!O13)</f>
        <v/>
      </c>
      <c r="Q13" s="23">
        <f>IF(BUDGET!O13=0,"",('CASH FLOW'!O13-BUDGET!O13)/ABS(BUDGET!O13))</f>
        <v/>
      </c>
    </row>
    <row r="14">
      <c r="A14" s="13">
        <f>'CASH FLOW'!A14</f>
        <v/>
      </c>
      <c r="B14" s="13">
        <f>'CASH FLOW'!B14</f>
        <v/>
      </c>
      <c r="C14" s="22">
        <f>IF(AND('CASH FLOW'!C14=0,BUDGET!C14=0),"",'CASH FLOW'!C14-BUDGET!C14)</f>
        <v/>
      </c>
      <c r="D14" s="22">
        <f>IF(AND('CASH FLOW'!D14=0,BUDGET!D14=0),"",'CASH FLOW'!D14-BUDGET!D14)</f>
        <v/>
      </c>
      <c r="E14" s="22">
        <f>IF(AND('CASH FLOW'!E14=0,BUDGET!E14=0),"",'CASH FLOW'!E14-BUDGET!E14)</f>
        <v/>
      </c>
      <c r="F14" s="22">
        <f>IF(AND('CASH FLOW'!F14=0,BUDGET!F14=0),"",'CASH FLOW'!F14-BUDGET!F14)</f>
        <v/>
      </c>
      <c r="G14" s="22">
        <f>IF(AND('CASH FLOW'!G14=0,BUDGET!G14=0),"",'CASH FLOW'!G14-BUDGET!G14)</f>
        <v/>
      </c>
      <c r="H14" s="22">
        <f>IF(AND('CASH FLOW'!H14=0,BUDGET!H14=0),"",'CASH FLOW'!H14-BUDGET!H14)</f>
        <v/>
      </c>
      <c r="I14" s="22">
        <f>IF(AND('CASH FLOW'!I14=0,BUDGET!I14=0),"",'CASH FLOW'!I14-BUDGET!I14)</f>
        <v/>
      </c>
      <c r="J14" s="22">
        <f>IF(AND('CASH FLOW'!J14=0,BUDGET!J14=0),"",'CASH FLOW'!J14-BUDGET!J14)</f>
        <v/>
      </c>
      <c r="K14" s="22">
        <f>IF(AND('CASH FLOW'!K14=0,BUDGET!K14=0),"",'CASH FLOW'!K14-BUDGET!K14)</f>
        <v/>
      </c>
      <c r="L14" s="22">
        <f>IF(AND('CASH FLOW'!L14=0,BUDGET!L14=0),"",'CASH FLOW'!L14-BUDGET!L14)</f>
        <v/>
      </c>
      <c r="M14" s="22">
        <f>IF(AND('CASH FLOW'!M14=0,BUDGET!M14=0),"",'CASH FLOW'!M14-BUDGET!M14)</f>
        <v/>
      </c>
      <c r="N14" s="22">
        <f>IF(AND('CASH FLOW'!N14=0,BUDGET!N14=0),"",'CASH FLOW'!N14-BUDGET!N14)</f>
        <v/>
      </c>
      <c r="O14" s="22">
        <f>IF(AND('CASH FLOW'!O14=0,BUDGET!O14=0),"",'CASH FLOW'!O14-BUDGET!O14)</f>
        <v/>
      </c>
      <c r="Q14" s="23">
        <f>IF(BUDGET!O14=0,"",('CASH FLOW'!O14-BUDGET!O14)/ABS(BUDGET!O14))</f>
        <v/>
      </c>
    </row>
    <row r="15">
      <c r="A15" s="13">
        <f>'CASH FLOW'!A15</f>
        <v/>
      </c>
      <c r="B15" s="13">
        <f>'CASH FLOW'!B15</f>
        <v/>
      </c>
      <c r="C15" s="22">
        <f>IF(AND('CASH FLOW'!C15=0,BUDGET!C15=0),"",'CASH FLOW'!C15-BUDGET!C15)</f>
        <v/>
      </c>
      <c r="D15" s="22">
        <f>IF(AND('CASH FLOW'!D15=0,BUDGET!D15=0),"",'CASH FLOW'!D15-BUDGET!D15)</f>
        <v/>
      </c>
      <c r="E15" s="22">
        <f>IF(AND('CASH FLOW'!E15=0,BUDGET!E15=0),"",'CASH FLOW'!E15-BUDGET!E15)</f>
        <v/>
      </c>
      <c r="F15" s="22">
        <f>IF(AND('CASH FLOW'!F15=0,BUDGET!F15=0),"",'CASH FLOW'!F15-BUDGET!F15)</f>
        <v/>
      </c>
      <c r="G15" s="22">
        <f>IF(AND('CASH FLOW'!G15=0,BUDGET!G15=0),"",'CASH FLOW'!G15-BUDGET!G15)</f>
        <v/>
      </c>
      <c r="H15" s="22">
        <f>IF(AND('CASH FLOW'!H15=0,BUDGET!H15=0),"",'CASH FLOW'!H15-BUDGET!H15)</f>
        <v/>
      </c>
      <c r="I15" s="22">
        <f>IF(AND('CASH FLOW'!I15=0,BUDGET!I15=0),"",'CASH FLOW'!I15-BUDGET!I15)</f>
        <v/>
      </c>
      <c r="J15" s="22">
        <f>IF(AND('CASH FLOW'!J15=0,BUDGET!J15=0),"",'CASH FLOW'!J15-BUDGET!J15)</f>
        <v/>
      </c>
      <c r="K15" s="22">
        <f>IF(AND('CASH FLOW'!K15=0,BUDGET!K15=0),"",'CASH FLOW'!K15-BUDGET!K15)</f>
        <v/>
      </c>
      <c r="L15" s="22">
        <f>IF(AND('CASH FLOW'!L15=0,BUDGET!L15=0),"",'CASH FLOW'!L15-BUDGET!L15)</f>
        <v/>
      </c>
      <c r="M15" s="22">
        <f>IF(AND('CASH FLOW'!M15=0,BUDGET!M15=0),"",'CASH FLOW'!M15-BUDGET!M15)</f>
        <v/>
      </c>
      <c r="N15" s="22">
        <f>IF(AND('CASH FLOW'!N15=0,BUDGET!N15=0),"",'CASH FLOW'!N15-BUDGET!N15)</f>
        <v/>
      </c>
      <c r="O15" s="22">
        <f>IF(AND('CASH FLOW'!O15=0,BUDGET!O15=0),"",'CASH FLOW'!O15-BUDGET!O15)</f>
        <v/>
      </c>
      <c r="Q15" s="23">
        <f>IF(BUDGET!O15=0,"",('CASH FLOW'!O15-BUDGET!O15)/ABS(BUDGET!O15))</f>
        <v/>
      </c>
    </row>
    <row r="16">
      <c r="A16" s="13">
        <f>'CASH FLOW'!A16</f>
        <v/>
      </c>
      <c r="B16" s="13">
        <f>'CASH FLOW'!B16</f>
        <v/>
      </c>
      <c r="C16" s="22">
        <f>IF(AND('CASH FLOW'!C16=0,BUDGET!C16=0),"",'CASH FLOW'!C16-BUDGET!C16)</f>
        <v/>
      </c>
      <c r="D16" s="22">
        <f>IF(AND('CASH FLOW'!D16=0,BUDGET!D16=0),"",'CASH FLOW'!D16-BUDGET!D16)</f>
        <v/>
      </c>
      <c r="E16" s="22">
        <f>IF(AND('CASH FLOW'!E16=0,BUDGET!E16=0),"",'CASH FLOW'!E16-BUDGET!E16)</f>
        <v/>
      </c>
      <c r="F16" s="22">
        <f>IF(AND('CASH FLOW'!F16=0,BUDGET!F16=0),"",'CASH FLOW'!F16-BUDGET!F16)</f>
        <v/>
      </c>
      <c r="G16" s="22">
        <f>IF(AND('CASH FLOW'!G16=0,BUDGET!G16=0),"",'CASH FLOW'!G16-BUDGET!G16)</f>
        <v/>
      </c>
      <c r="H16" s="22">
        <f>IF(AND('CASH FLOW'!H16=0,BUDGET!H16=0),"",'CASH FLOW'!H16-BUDGET!H16)</f>
        <v/>
      </c>
      <c r="I16" s="22">
        <f>IF(AND('CASH FLOW'!I16=0,BUDGET!I16=0),"",'CASH FLOW'!I16-BUDGET!I16)</f>
        <v/>
      </c>
      <c r="J16" s="22">
        <f>IF(AND('CASH FLOW'!J16=0,BUDGET!J16=0),"",'CASH FLOW'!J16-BUDGET!J16)</f>
        <v/>
      </c>
      <c r="K16" s="22">
        <f>IF(AND('CASH FLOW'!K16=0,BUDGET!K16=0),"",'CASH FLOW'!K16-BUDGET!K16)</f>
        <v/>
      </c>
      <c r="L16" s="22">
        <f>IF(AND('CASH FLOW'!L16=0,BUDGET!L16=0),"",'CASH FLOW'!L16-BUDGET!L16)</f>
        <v/>
      </c>
      <c r="M16" s="22">
        <f>IF(AND('CASH FLOW'!M16=0,BUDGET!M16=0),"",'CASH FLOW'!M16-BUDGET!M16)</f>
        <v/>
      </c>
      <c r="N16" s="22">
        <f>IF(AND('CASH FLOW'!N16=0,BUDGET!N16=0),"",'CASH FLOW'!N16-BUDGET!N16)</f>
        <v/>
      </c>
      <c r="O16" s="22">
        <f>IF(AND('CASH FLOW'!O16=0,BUDGET!O16=0),"",'CASH FLOW'!O16-BUDGET!O16)</f>
        <v/>
      </c>
      <c r="Q16" s="23">
        <f>IF(BUDGET!O16=0,"",('CASH FLOW'!O16-BUDGET!O16)/ABS(BUDGET!O16))</f>
        <v/>
      </c>
    </row>
    <row r="17">
      <c r="A17" s="13">
        <f>'CASH FLOW'!A17</f>
        <v/>
      </c>
      <c r="B17" s="13">
        <f>'CASH FLOW'!B17</f>
        <v/>
      </c>
      <c r="C17" s="22">
        <f>IF(AND('CASH FLOW'!C17=0,BUDGET!C17=0),"",'CASH FLOW'!C17-BUDGET!C17)</f>
        <v/>
      </c>
      <c r="D17" s="22">
        <f>IF(AND('CASH FLOW'!D17=0,BUDGET!D17=0),"",'CASH FLOW'!D17-BUDGET!D17)</f>
        <v/>
      </c>
      <c r="E17" s="22">
        <f>IF(AND('CASH FLOW'!E17=0,BUDGET!E17=0),"",'CASH FLOW'!E17-BUDGET!E17)</f>
        <v/>
      </c>
      <c r="F17" s="22">
        <f>IF(AND('CASH FLOW'!F17=0,BUDGET!F17=0),"",'CASH FLOW'!F17-BUDGET!F17)</f>
        <v/>
      </c>
      <c r="G17" s="22">
        <f>IF(AND('CASH FLOW'!G17=0,BUDGET!G17=0),"",'CASH FLOW'!G17-BUDGET!G17)</f>
        <v/>
      </c>
      <c r="H17" s="22">
        <f>IF(AND('CASH FLOW'!H17=0,BUDGET!H17=0),"",'CASH FLOW'!H17-BUDGET!H17)</f>
        <v/>
      </c>
      <c r="I17" s="22">
        <f>IF(AND('CASH FLOW'!I17=0,BUDGET!I17=0),"",'CASH FLOW'!I17-BUDGET!I17)</f>
        <v/>
      </c>
      <c r="J17" s="22">
        <f>IF(AND('CASH FLOW'!J17=0,BUDGET!J17=0),"",'CASH FLOW'!J17-BUDGET!J17)</f>
        <v/>
      </c>
      <c r="K17" s="22">
        <f>IF(AND('CASH FLOW'!K17=0,BUDGET!K17=0),"",'CASH FLOW'!K17-BUDGET!K17)</f>
        <v/>
      </c>
      <c r="L17" s="22">
        <f>IF(AND('CASH FLOW'!L17=0,BUDGET!L17=0),"",'CASH FLOW'!L17-BUDGET!L17)</f>
        <v/>
      </c>
      <c r="M17" s="22">
        <f>IF(AND('CASH FLOW'!M17=0,BUDGET!M17=0),"",'CASH FLOW'!M17-BUDGET!M17)</f>
        <v/>
      </c>
      <c r="N17" s="22">
        <f>IF(AND('CASH FLOW'!N17=0,BUDGET!N17=0),"",'CASH FLOW'!N17-BUDGET!N17)</f>
        <v/>
      </c>
      <c r="O17" s="22">
        <f>IF(AND('CASH FLOW'!O17=0,BUDGET!O17=0),"",'CASH FLOW'!O17-BUDGET!O17)</f>
        <v/>
      </c>
      <c r="Q17" s="23">
        <f>IF(BUDGET!O17=0,"",('CASH FLOW'!O17-BUDGET!O17)/ABS(BUDGET!O17))</f>
        <v/>
      </c>
    </row>
    <row r="18">
      <c r="A18" s="13">
        <f>'CASH FLOW'!A18</f>
        <v/>
      </c>
      <c r="B18" s="13">
        <f>'CASH FLOW'!B18</f>
        <v/>
      </c>
      <c r="C18" s="22">
        <f>IF(AND('CASH FLOW'!C18=0,BUDGET!C18=0),"",'CASH FLOW'!C18-BUDGET!C18)</f>
        <v/>
      </c>
      <c r="D18" s="22">
        <f>IF(AND('CASH FLOW'!D18=0,BUDGET!D18=0),"",'CASH FLOW'!D18-BUDGET!D18)</f>
        <v/>
      </c>
      <c r="E18" s="22">
        <f>IF(AND('CASH FLOW'!E18=0,BUDGET!E18=0),"",'CASH FLOW'!E18-BUDGET!E18)</f>
        <v/>
      </c>
      <c r="F18" s="22">
        <f>IF(AND('CASH FLOW'!F18=0,BUDGET!F18=0),"",'CASH FLOW'!F18-BUDGET!F18)</f>
        <v/>
      </c>
      <c r="G18" s="22">
        <f>IF(AND('CASH FLOW'!G18=0,BUDGET!G18=0),"",'CASH FLOW'!G18-BUDGET!G18)</f>
        <v/>
      </c>
      <c r="H18" s="22">
        <f>IF(AND('CASH FLOW'!H18=0,BUDGET!H18=0),"",'CASH FLOW'!H18-BUDGET!H18)</f>
        <v/>
      </c>
      <c r="I18" s="22">
        <f>IF(AND('CASH FLOW'!I18=0,BUDGET!I18=0),"",'CASH FLOW'!I18-BUDGET!I18)</f>
        <v/>
      </c>
      <c r="J18" s="22">
        <f>IF(AND('CASH FLOW'!J18=0,BUDGET!J18=0),"",'CASH FLOW'!J18-BUDGET!J18)</f>
        <v/>
      </c>
      <c r="K18" s="22">
        <f>IF(AND('CASH FLOW'!K18=0,BUDGET!K18=0),"",'CASH FLOW'!K18-BUDGET!K18)</f>
        <v/>
      </c>
      <c r="L18" s="22">
        <f>IF(AND('CASH FLOW'!L18=0,BUDGET!L18=0),"",'CASH FLOW'!L18-BUDGET!L18)</f>
        <v/>
      </c>
      <c r="M18" s="22">
        <f>IF(AND('CASH FLOW'!M18=0,BUDGET!M18=0),"",'CASH FLOW'!M18-BUDGET!M18)</f>
        <v/>
      </c>
      <c r="N18" s="22">
        <f>IF(AND('CASH FLOW'!N18=0,BUDGET!N18=0),"",'CASH FLOW'!N18-BUDGET!N18)</f>
        <v/>
      </c>
      <c r="O18" s="22">
        <f>IF(AND('CASH FLOW'!O18=0,BUDGET!O18=0),"",'CASH FLOW'!O18-BUDGET!O18)</f>
        <v/>
      </c>
      <c r="Q18" s="23">
        <f>IF(BUDGET!O18=0,"",('CASH FLOW'!O18-BUDGET!O18)/ABS(BUDGET!O18))</f>
        <v/>
      </c>
    </row>
    <row r="19">
      <c r="A19" s="13">
        <f>'CASH FLOW'!A19</f>
        <v/>
      </c>
      <c r="B19" s="13">
        <f>'CASH FLOW'!B19</f>
        <v/>
      </c>
      <c r="C19" s="22">
        <f>IF(AND('CASH FLOW'!C19=0,BUDGET!C19=0),"",'CASH FLOW'!C19-BUDGET!C19)</f>
        <v/>
      </c>
      <c r="D19" s="22">
        <f>IF(AND('CASH FLOW'!D19=0,BUDGET!D19=0),"",'CASH FLOW'!D19-BUDGET!D19)</f>
        <v/>
      </c>
      <c r="E19" s="22">
        <f>IF(AND('CASH FLOW'!E19=0,BUDGET!E19=0),"",'CASH FLOW'!E19-BUDGET!E19)</f>
        <v/>
      </c>
      <c r="F19" s="22">
        <f>IF(AND('CASH FLOW'!F19=0,BUDGET!F19=0),"",'CASH FLOW'!F19-BUDGET!F19)</f>
        <v/>
      </c>
      <c r="G19" s="22">
        <f>IF(AND('CASH FLOW'!G19=0,BUDGET!G19=0),"",'CASH FLOW'!G19-BUDGET!G19)</f>
        <v/>
      </c>
      <c r="H19" s="22">
        <f>IF(AND('CASH FLOW'!H19=0,BUDGET!H19=0),"",'CASH FLOW'!H19-BUDGET!H19)</f>
        <v/>
      </c>
      <c r="I19" s="22">
        <f>IF(AND('CASH FLOW'!I19=0,BUDGET!I19=0),"",'CASH FLOW'!I19-BUDGET!I19)</f>
        <v/>
      </c>
      <c r="J19" s="22">
        <f>IF(AND('CASH FLOW'!J19=0,BUDGET!J19=0),"",'CASH FLOW'!J19-BUDGET!J19)</f>
        <v/>
      </c>
      <c r="K19" s="22">
        <f>IF(AND('CASH FLOW'!K19=0,BUDGET!K19=0),"",'CASH FLOW'!K19-BUDGET!K19)</f>
        <v/>
      </c>
      <c r="L19" s="22">
        <f>IF(AND('CASH FLOW'!L19=0,BUDGET!L19=0),"",'CASH FLOW'!L19-BUDGET!L19)</f>
        <v/>
      </c>
      <c r="M19" s="22">
        <f>IF(AND('CASH FLOW'!M19=0,BUDGET!M19=0),"",'CASH FLOW'!M19-BUDGET!M19)</f>
        <v/>
      </c>
      <c r="N19" s="22">
        <f>IF(AND('CASH FLOW'!N19=0,BUDGET!N19=0),"",'CASH FLOW'!N19-BUDGET!N19)</f>
        <v/>
      </c>
      <c r="O19" s="22">
        <f>IF(AND('CASH FLOW'!O19=0,BUDGET!O19=0),"",'CASH FLOW'!O19-BUDGET!O19)</f>
        <v/>
      </c>
      <c r="Q19" s="23">
        <f>IF(BUDGET!O19=0,"",('CASH FLOW'!O19-BUDGET!O19)/ABS(BUDGET!O19))</f>
        <v/>
      </c>
    </row>
    <row r="20">
      <c r="A20" s="13">
        <f>'CASH FLOW'!A20</f>
        <v/>
      </c>
      <c r="B20" s="13">
        <f>'CASH FLOW'!B20</f>
        <v/>
      </c>
      <c r="C20" s="22">
        <f>IF(AND('CASH FLOW'!C20=0,BUDGET!C20=0),"",'CASH FLOW'!C20-BUDGET!C20)</f>
        <v/>
      </c>
      <c r="D20" s="22">
        <f>IF(AND('CASH FLOW'!D20=0,BUDGET!D20=0),"",'CASH FLOW'!D20-BUDGET!D20)</f>
        <v/>
      </c>
      <c r="E20" s="22">
        <f>IF(AND('CASH FLOW'!E20=0,BUDGET!E20=0),"",'CASH FLOW'!E20-BUDGET!E20)</f>
        <v/>
      </c>
      <c r="F20" s="22">
        <f>IF(AND('CASH FLOW'!F20=0,BUDGET!F20=0),"",'CASH FLOW'!F20-BUDGET!F20)</f>
        <v/>
      </c>
      <c r="G20" s="22">
        <f>IF(AND('CASH FLOW'!G20=0,BUDGET!G20=0),"",'CASH FLOW'!G20-BUDGET!G20)</f>
        <v/>
      </c>
      <c r="H20" s="22">
        <f>IF(AND('CASH FLOW'!H20=0,BUDGET!H20=0),"",'CASH FLOW'!H20-BUDGET!H20)</f>
        <v/>
      </c>
      <c r="I20" s="22">
        <f>IF(AND('CASH FLOW'!I20=0,BUDGET!I20=0),"",'CASH FLOW'!I20-BUDGET!I20)</f>
        <v/>
      </c>
      <c r="J20" s="22">
        <f>IF(AND('CASH FLOW'!J20=0,BUDGET!J20=0),"",'CASH FLOW'!J20-BUDGET!J20)</f>
        <v/>
      </c>
      <c r="K20" s="22">
        <f>IF(AND('CASH FLOW'!K20=0,BUDGET!K20=0),"",'CASH FLOW'!K20-BUDGET!K20)</f>
        <v/>
      </c>
      <c r="L20" s="22">
        <f>IF(AND('CASH FLOW'!L20=0,BUDGET!L20=0),"",'CASH FLOW'!L20-BUDGET!L20)</f>
        <v/>
      </c>
      <c r="M20" s="22">
        <f>IF(AND('CASH FLOW'!M20=0,BUDGET!M20=0),"",'CASH FLOW'!M20-BUDGET!M20)</f>
        <v/>
      </c>
      <c r="N20" s="22">
        <f>IF(AND('CASH FLOW'!N20=0,BUDGET!N20=0),"",'CASH FLOW'!N20-BUDGET!N20)</f>
        <v/>
      </c>
      <c r="O20" s="22">
        <f>IF(AND('CASH FLOW'!O20=0,BUDGET!O20=0),"",'CASH FLOW'!O20-BUDGET!O20)</f>
        <v/>
      </c>
      <c r="Q20" s="23">
        <f>IF(BUDGET!O20=0,"",('CASH FLOW'!O20-BUDGET!O20)/ABS(BUDGET!O20))</f>
        <v/>
      </c>
    </row>
    <row r="21">
      <c r="A21" s="13">
        <f>'CASH FLOW'!A21</f>
        <v/>
      </c>
      <c r="B21" s="13">
        <f>'CASH FLOW'!B21</f>
        <v/>
      </c>
      <c r="C21" s="22">
        <f>IF(AND('CASH FLOW'!C21=0,BUDGET!C21=0),"",'CASH FLOW'!C21-BUDGET!C21)</f>
        <v/>
      </c>
      <c r="D21" s="22">
        <f>IF(AND('CASH FLOW'!D21=0,BUDGET!D21=0),"",'CASH FLOW'!D21-BUDGET!D21)</f>
        <v/>
      </c>
      <c r="E21" s="22">
        <f>IF(AND('CASH FLOW'!E21=0,BUDGET!E21=0),"",'CASH FLOW'!E21-BUDGET!E21)</f>
        <v/>
      </c>
      <c r="F21" s="22">
        <f>IF(AND('CASH FLOW'!F21=0,BUDGET!F21=0),"",'CASH FLOW'!F21-BUDGET!F21)</f>
        <v/>
      </c>
      <c r="G21" s="22">
        <f>IF(AND('CASH FLOW'!G21=0,BUDGET!G21=0),"",'CASH FLOW'!G21-BUDGET!G21)</f>
        <v/>
      </c>
      <c r="H21" s="22">
        <f>IF(AND('CASH FLOW'!H21=0,BUDGET!H21=0),"",'CASH FLOW'!H21-BUDGET!H21)</f>
        <v/>
      </c>
      <c r="I21" s="22">
        <f>IF(AND('CASH FLOW'!I21=0,BUDGET!I21=0),"",'CASH FLOW'!I21-BUDGET!I21)</f>
        <v/>
      </c>
      <c r="J21" s="22">
        <f>IF(AND('CASH FLOW'!J21=0,BUDGET!J21=0),"",'CASH FLOW'!J21-BUDGET!J21)</f>
        <v/>
      </c>
      <c r="K21" s="22">
        <f>IF(AND('CASH FLOW'!K21=0,BUDGET!K21=0),"",'CASH FLOW'!K21-BUDGET!K21)</f>
        <v/>
      </c>
      <c r="L21" s="22">
        <f>IF(AND('CASH FLOW'!L21=0,BUDGET!L21=0),"",'CASH FLOW'!L21-BUDGET!L21)</f>
        <v/>
      </c>
      <c r="M21" s="22">
        <f>IF(AND('CASH FLOW'!M21=0,BUDGET!M21=0),"",'CASH FLOW'!M21-BUDGET!M21)</f>
        <v/>
      </c>
      <c r="N21" s="22">
        <f>IF(AND('CASH FLOW'!N21=0,BUDGET!N21=0),"",'CASH FLOW'!N21-BUDGET!N21)</f>
        <v/>
      </c>
      <c r="O21" s="22">
        <f>IF(AND('CASH FLOW'!O21=0,BUDGET!O21=0),"",'CASH FLOW'!O21-BUDGET!O21)</f>
        <v/>
      </c>
      <c r="Q21" s="23">
        <f>IF(BUDGET!O21=0,"",('CASH FLOW'!O21-BUDGET!O21)/ABS(BUDGET!O21))</f>
        <v/>
      </c>
    </row>
    <row r="22">
      <c r="A22" s="13">
        <f>'CASH FLOW'!A22</f>
        <v/>
      </c>
      <c r="B22" s="13">
        <f>'CASH FLOW'!B22</f>
        <v/>
      </c>
      <c r="C22" s="22">
        <f>IF(AND('CASH FLOW'!C22=0,BUDGET!C22=0),"",'CASH FLOW'!C22-BUDGET!C22)</f>
        <v/>
      </c>
      <c r="D22" s="22">
        <f>IF(AND('CASH FLOW'!D22=0,BUDGET!D22=0),"",'CASH FLOW'!D22-BUDGET!D22)</f>
        <v/>
      </c>
      <c r="E22" s="22">
        <f>IF(AND('CASH FLOW'!E22=0,BUDGET!E22=0),"",'CASH FLOW'!E22-BUDGET!E22)</f>
        <v/>
      </c>
      <c r="F22" s="22">
        <f>IF(AND('CASH FLOW'!F22=0,BUDGET!F22=0),"",'CASH FLOW'!F22-BUDGET!F22)</f>
        <v/>
      </c>
      <c r="G22" s="22">
        <f>IF(AND('CASH FLOW'!G22=0,BUDGET!G22=0),"",'CASH FLOW'!G22-BUDGET!G22)</f>
        <v/>
      </c>
      <c r="H22" s="22">
        <f>IF(AND('CASH FLOW'!H22=0,BUDGET!H22=0),"",'CASH FLOW'!H22-BUDGET!H22)</f>
        <v/>
      </c>
      <c r="I22" s="22">
        <f>IF(AND('CASH FLOW'!I22=0,BUDGET!I22=0),"",'CASH FLOW'!I22-BUDGET!I22)</f>
        <v/>
      </c>
      <c r="J22" s="22">
        <f>IF(AND('CASH FLOW'!J22=0,BUDGET!J22=0),"",'CASH FLOW'!J22-BUDGET!J22)</f>
        <v/>
      </c>
      <c r="K22" s="22">
        <f>IF(AND('CASH FLOW'!K22=0,BUDGET!K22=0),"",'CASH FLOW'!K22-BUDGET!K22)</f>
        <v/>
      </c>
      <c r="L22" s="22">
        <f>IF(AND('CASH FLOW'!L22=0,BUDGET!L22=0),"",'CASH FLOW'!L22-BUDGET!L22)</f>
        <v/>
      </c>
      <c r="M22" s="22">
        <f>IF(AND('CASH FLOW'!M22=0,BUDGET!M22=0),"",'CASH FLOW'!M22-BUDGET!M22)</f>
        <v/>
      </c>
      <c r="N22" s="22">
        <f>IF(AND('CASH FLOW'!N22=0,BUDGET!N22=0),"",'CASH FLOW'!N22-BUDGET!N22)</f>
        <v/>
      </c>
      <c r="O22" s="22">
        <f>IF(AND('CASH FLOW'!O22=0,BUDGET!O22=0),"",'CASH FLOW'!O22-BUDGET!O22)</f>
        <v/>
      </c>
      <c r="Q22" s="23">
        <f>IF(BUDGET!O22=0,"",('CASH FLOW'!O22-BUDGET!O22)/ABS(BUDGET!O22))</f>
        <v/>
      </c>
    </row>
    <row r="23">
      <c r="A23" s="13">
        <f>'CASH FLOW'!A23</f>
        <v/>
      </c>
      <c r="B23" s="13">
        <f>'CASH FLOW'!B23</f>
        <v/>
      </c>
      <c r="C23" s="22">
        <f>IF(AND('CASH FLOW'!C23=0,BUDGET!C23=0),"",'CASH FLOW'!C23-BUDGET!C23)</f>
        <v/>
      </c>
      <c r="D23" s="22">
        <f>IF(AND('CASH FLOW'!D23=0,BUDGET!D23=0),"",'CASH FLOW'!D23-BUDGET!D23)</f>
        <v/>
      </c>
      <c r="E23" s="22">
        <f>IF(AND('CASH FLOW'!E23=0,BUDGET!E23=0),"",'CASH FLOW'!E23-BUDGET!E23)</f>
        <v/>
      </c>
      <c r="F23" s="22">
        <f>IF(AND('CASH FLOW'!F23=0,BUDGET!F23=0),"",'CASH FLOW'!F23-BUDGET!F23)</f>
        <v/>
      </c>
      <c r="G23" s="22">
        <f>IF(AND('CASH FLOW'!G23=0,BUDGET!G23=0),"",'CASH FLOW'!G23-BUDGET!G23)</f>
        <v/>
      </c>
      <c r="H23" s="22">
        <f>IF(AND('CASH FLOW'!H23=0,BUDGET!H23=0),"",'CASH FLOW'!H23-BUDGET!H23)</f>
        <v/>
      </c>
      <c r="I23" s="22">
        <f>IF(AND('CASH FLOW'!I23=0,BUDGET!I23=0),"",'CASH FLOW'!I23-BUDGET!I23)</f>
        <v/>
      </c>
      <c r="J23" s="22">
        <f>IF(AND('CASH FLOW'!J23=0,BUDGET!J23=0),"",'CASH FLOW'!J23-BUDGET!J23)</f>
        <v/>
      </c>
      <c r="K23" s="22">
        <f>IF(AND('CASH FLOW'!K23=0,BUDGET!K23=0),"",'CASH FLOW'!K23-BUDGET!K23)</f>
        <v/>
      </c>
      <c r="L23" s="22">
        <f>IF(AND('CASH FLOW'!L23=0,BUDGET!L23=0),"",'CASH FLOW'!L23-BUDGET!L23)</f>
        <v/>
      </c>
      <c r="M23" s="22">
        <f>IF(AND('CASH FLOW'!M23=0,BUDGET!M23=0),"",'CASH FLOW'!M23-BUDGET!M23)</f>
        <v/>
      </c>
      <c r="N23" s="22">
        <f>IF(AND('CASH FLOW'!N23=0,BUDGET!N23=0),"",'CASH FLOW'!N23-BUDGET!N23)</f>
        <v/>
      </c>
      <c r="O23" s="22">
        <f>IF(AND('CASH FLOW'!O23=0,BUDGET!O23=0),"",'CASH FLOW'!O23-BUDGET!O23)</f>
        <v/>
      </c>
      <c r="Q23" s="23">
        <f>IF(BUDGET!O23=0,"",('CASH FLOW'!O23-BUDGET!O23)/ABS(BUDGET!O23))</f>
        <v/>
      </c>
    </row>
    <row r="24">
      <c r="A24" s="13">
        <f>'CASH FLOW'!A24</f>
        <v/>
      </c>
      <c r="B24" s="13">
        <f>'CASH FLOW'!B24</f>
        <v/>
      </c>
      <c r="C24" s="22">
        <f>IF(AND('CASH FLOW'!C24=0,BUDGET!C24=0),"",'CASH FLOW'!C24-BUDGET!C24)</f>
        <v/>
      </c>
      <c r="D24" s="22">
        <f>IF(AND('CASH FLOW'!D24=0,BUDGET!D24=0),"",'CASH FLOW'!D24-BUDGET!D24)</f>
        <v/>
      </c>
      <c r="E24" s="22">
        <f>IF(AND('CASH FLOW'!E24=0,BUDGET!E24=0),"",'CASH FLOW'!E24-BUDGET!E24)</f>
        <v/>
      </c>
      <c r="F24" s="22">
        <f>IF(AND('CASH FLOW'!F24=0,BUDGET!F24=0),"",'CASH FLOW'!F24-BUDGET!F24)</f>
        <v/>
      </c>
      <c r="G24" s="22">
        <f>IF(AND('CASH FLOW'!G24=0,BUDGET!G24=0),"",'CASH FLOW'!G24-BUDGET!G24)</f>
        <v/>
      </c>
      <c r="H24" s="22">
        <f>IF(AND('CASH FLOW'!H24=0,BUDGET!H24=0),"",'CASH FLOW'!H24-BUDGET!H24)</f>
        <v/>
      </c>
      <c r="I24" s="22">
        <f>IF(AND('CASH FLOW'!I24=0,BUDGET!I24=0),"",'CASH FLOW'!I24-BUDGET!I24)</f>
        <v/>
      </c>
      <c r="J24" s="22">
        <f>IF(AND('CASH FLOW'!J24=0,BUDGET!J24=0),"",'CASH FLOW'!J24-BUDGET!J24)</f>
        <v/>
      </c>
      <c r="K24" s="22">
        <f>IF(AND('CASH FLOW'!K24=0,BUDGET!K24=0),"",'CASH FLOW'!K24-BUDGET!K24)</f>
        <v/>
      </c>
      <c r="L24" s="22">
        <f>IF(AND('CASH FLOW'!L24=0,BUDGET!L24=0),"",'CASH FLOW'!L24-BUDGET!L24)</f>
        <v/>
      </c>
      <c r="M24" s="22">
        <f>IF(AND('CASH FLOW'!M24=0,BUDGET!M24=0),"",'CASH FLOW'!M24-BUDGET!M24)</f>
        <v/>
      </c>
      <c r="N24" s="22">
        <f>IF(AND('CASH FLOW'!N24=0,BUDGET!N24=0),"",'CASH FLOW'!N24-BUDGET!N24)</f>
        <v/>
      </c>
      <c r="O24" s="22">
        <f>IF(AND('CASH FLOW'!O24=0,BUDGET!O24=0),"",'CASH FLOW'!O24-BUDGET!O24)</f>
        <v/>
      </c>
      <c r="Q24" s="23">
        <f>IF(BUDGET!O24=0,"",('CASH FLOW'!O24-BUDGET!O24)/ABS(BUDGET!O24))</f>
        <v/>
      </c>
    </row>
    <row r="25">
      <c r="A25" s="13">
        <f>'CASH FLOW'!A25</f>
        <v/>
      </c>
      <c r="B25" s="13">
        <f>'CASH FLOW'!B25</f>
        <v/>
      </c>
      <c r="C25" s="22">
        <f>IF(AND('CASH FLOW'!C25=0,BUDGET!C25=0),"",'CASH FLOW'!C25-BUDGET!C25)</f>
        <v/>
      </c>
      <c r="D25" s="22">
        <f>IF(AND('CASH FLOW'!D25=0,BUDGET!D25=0),"",'CASH FLOW'!D25-BUDGET!D25)</f>
        <v/>
      </c>
      <c r="E25" s="22">
        <f>IF(AND('CASH FLOW'!E25=0,BUDGET!E25=0),"",'CASH FLOW'!E25-BUDGET!E25)</f>
        <v/>
      </c>
      <c r="F25" s="22">
        <f>IF(AND('CASH FLOW'!F25=0,BUDGET!F25=0),"",'CASH FLOW'!F25-BUDGET!F25)</f>
        <v/>
      </c>
      <c r="G25" s="22">
        <f>IF(AND('CASH FLOW'!G25=0,BUDGET!G25=0),"",'CASH FLOW'!G25-BUDGET!G25)</f>
        <v/>
      </c>
      <c r="H25" s="22">
        <f>IF(AND('CASH FLOW'!H25=0,BUDGET!H25=0),"",'CASH FLOW'!H25-BUDGET!H25)</f>
        <v/>
      </c>
      <c r="I25" s="22">
        <f>IF(AND('CASH FLOW'!I25=0,BUDGET!I25=0),"",'CASH FLOW'!I25-BUDGET!I25)</f>
        <v/>
      </c>
      <c r="J25" s="22">
        <f>IF(AND('CASH FLOW'!J25=0,BUDGET!J25=0),"",'CASH FLOW'!J25-BUDGET!J25)</f>
        <v/>
      </c>
      <c r="K25" s="22">
        <f>IF(AND('CASH FLOW'!K25=0,BUDGET!K25=0),"",'CASH FLOW'!K25-BUDGET!K25)</f>
        <v/>
      </c>
      <c r="L25" s="22">
        <f>IF(AND('CASH FLOW'!L25=0,BUDGET!L25=0),"",'CASH FLOW'!L25-BUDGET!L25)</f>
        <v/>
      </c>
      <c r="M25" s="22">
        <f>IF(AND('CASH FLOW'!M25=0,BUDGET!M25=0),"",'CASH FLOW'!M25-BUDGET!M25)</f>
        <v/>
      </c>
      <c r="N25" s="22">
        <f>IF(AND('CASH FLOW'!N25=0,BUDGET!N25=0),"",'CASH FLOW'!N25-BUDGET!N25)</f>
        <v/>
      </c>
      <c r="O25" s="22">
        <f>IF(AND('CASH FLOW'!O25=0,BUDGET!O25=0),"",'CASH FLOW'!O25-BUDGET!O25)</f>
        <v/>
      </c>
      <c r="Q25" s="23">
        <f>IF(BUDGET!O25=0,"",('CASH FLOW'!O25-BUDGET!O25)/ABS(BUDGET!O25))</f>
        <v/>
      </c>
    </row>
    <row r="26">
      <c r="A26" s="13">
        <f>'CASH FLOW'!A26</f>
        <v/>
      </c>
      <c r="B26" s="13">
        <f>'CASH FLOW'!B26</f>
        <v/>
      </c>
      <c r="C26" s="22">
        <f>IF(AND('CASH FLOW'!C26=0,BUDGET!C26=0),"",'CASH FLOW'!C26-BUDGET!C26)</f>
        <v/>
      </c>
      <c r="D26" s="22">
        <f>IF(AND('CASH FLOW'!D26=0,BUDGET!D26=0),"",'CASH FLOW'!D26-BUDGET!D26)</f>
        <v/>
      </c>
      <c r="E26" s="22">
        <f>IF(AND('CASH FLOW'!E26=0,BUDGET!E26=0),"",'CASH FLOW'!E26-BUDGET!E26)</f>
        <v/>
      </c>
      <c r="F26" s="22">
        <f>IF(AND('CASH FLOW'!F26=0,BUDGET!F26=0),"",'CASH FLOW'!F26-BUDGET!F26)</f>
        <v/>
      </c>
      <c r="G26" s="22">
        <f>IF(AND('CASH FLOW'!G26=0,BUDGET!G26=0),"",'CASH FLOW'!G26-BUDGET!G26)</f>
        <v/>
      </c>
      <c r="H26" s="22">
        <f>IF(AND('CASH FLOW'!H26=0,BUDGET!H26=0),"",'CASH FLOW'!H26-BUDGET!H26)</f>
        <v/>
      </c>
      <c r="I26" s="22">
        <f>IF(AND('CASH FLOW'!I26=0,BUDGET!I26=0),"",'CASH FLOW'!I26-BUDGET!I26)</f>
        <v/>
      </c>
      <c r="J26" s="22">
        <f>IF(AND('CASH FLOW'!J26=0,BUDGET!J26=0),"",'CASH FLOW'!J26-BUDGET!J26)</f>
        <v/>
      </c>
      <c r="K26" s="22">
        <f>IF(AND('CASH FLOW'!K26=0,BUDGET!K26=0),"",'CASH FLOW'!K26-BUDGET!K26)</f>
        <v/>
      </c>
      <c r="L26" s="22">
        <f>IF(AND('CASH FLOW'!L26=0,BUDGET!L26=0),"",'CASH FLOW'!L26-BUDGET!L26)</f>
        <v/>
      </c>
      <c r="M26" s="22">
        <f>IF(AND('CASH FLOW'!M26=0,BUDGET!M26=0),"",'CASH FLOW'!M26-BUDGET!M26)</f>
        <v/>
      </c>
      <c r="N26" s="22">
        <f>IF(AND('CASH FLOW'!N26=0,BUDGET!N26=0),"",'CASH FLOW'!N26-BUDGET!N26)</f>
        <v/>
      </c>
      <c r="O26" s="22">
        <f>IF(AND('CASH FLOW'!O26=0,BUDGET!O26=0),"",'CASH FLOW'!O26-BUDGET!O26)</f>
        <v/>
      </c>
      <c r="Q26" s="23">
        <f>IF(BUDGET!O26=0,"",('CASH FLOW'!O26-BUDGET!O26)/ABS(BUDGET!O26))</f>
        <v/>
      </c>
    </row>
    <row r="27">
      <c r="A27" s="13">
        <f>'CASH FLOW'!A27</f>
        <v/>
      </c>
      <c r="B27" s="13">
        <f>'CASH FLOW'!B27</f>
        <v/>
      </c>
      <c r="C27" s="22">
        <f>IF(AND('CASH FLOW'!C27=0,BUDGET!C27=0),"",'CASH FLOW'!C27-BUDGET!C27)</f>
        <v/>
      </c>
      <c r="D27" s="22">
        <f>IF(AND('CASH FLOW'!D27=0,BUDGET!D27=0),"",'CASH FLOW'!D27-BUDGET!D27)</f>
        <v/>
      </c>
      <c r="E27" s="22">
        <f>IF(AND('CASH FLOW'!E27=0,BUDGET!E27=0),"",'CASH FLOW'!E27-BUDGET!E27)</f>
        <v/>
      </c>
      <c r="F27" s="22">
        <f>IF(AND('CASH FLOW'!F27=0,BUDGET!F27=0),"",'CASH FLOW'!F27-BUDGET!F27)</f>
        <v/>
      </c>
      <c r="G27" s="22">
        <f>IF(AND('CASH FLOW'!G27=0,BUDGET!G27=0),"",'CASH FLOW'!G27-BUDGET!G27)</f>
        <v/>
      </c>
      <c r="H27" s="22">
        <f>IF(AND('CASH FLOW'!H27=0,BUDGET!H27=0),"",'CASH FLOW'!H27-BUDGET!H27)</f>
        <v/>
      </c>
      <c r="I27" s="22">
        <f>IF(AND('CASH FLOW'!I27=0,BUDGET!I27=0),"",'CASH FLOW'!I27-BUDGET!I27)</f>
        <v/>
      </c>
      <c r="J27" s="22">
        <f>IF(AND('CASH FLOW'!J27=0,BUDGET!J27=0),"",'CASH FLOW'!J27-BUDGET!J27)</f>
        <v/>
      </c>
      <c r="K27" s="22">
        <f>IF(AND('CASH FLOW'!K27=0,BUDGET!K27=0),"",'CASH FLOW'!K27-BUDGET!K27)</f>
        <v/>
      </c>
      <c r="L27" s="22">
        <f>IF(AND('CASH FLOW'!L27=0,BUDGET!L27=0),"",'CASH FLOW'!L27-BUDGET!L27)</f>
        <v/>
      </c>
      <c r="M27" s="22">
        <f>IF(AND('CASH FLOW'!M27=0,BUDGET!M27=0),"",'CASH FLOW'!M27-BUDGET!M27)</f>
        <v/>
      </c>
      <c r="N27" s="22">
        <f>IF(AND('CASH FLOW'!N27=0,BUDGET!N27=0),"",'CASH FLOW'!N27-BUDGET!N27)</f>
        <v/>
      </c>
      <c r="O27" s="22">
        <f>IF(AND('CASH FLOW'!O27=0,BUDGET!O27=0),"",'CASH FLOW'!O27-BUDGET!O27)</f>
        <v/>
      </c>
      <c r="Q27" s="23">
        <f>IF(BUDGET!O27=0,"",('CASH FLOW'!O27-BUDGET!O27)/ABS(BUDGET!O27))</f>
        <v/>
      </c>
    </row>
    <row r="28">
      <c r="A28" s="13">
        <f>'CASH FLOW'!A28</f>
        <v/>
      </c>
      <c r="B28" s="13">
        <f>'CASH FLOW'!B28</f>
        <v/>
      </c>
      <c r="C28" s="22">
        <f>IF(AND('CASH FLOW'!C28=0,BUDGET!C28=0),"",'CASH FLOW'!C28-BUDGET!C28)</f>
        <v/>
      </c>
      <c r="D28" s="22">
        <f>IF(AND('CASH FLOW'!D28=0,BUDGET!D28=0),"",'CASH FLOW'!D28-BUDGET!D28)</f>
        <v/>
      </c>
      <c r="E28" s="22">
        <f>IF(AND('CASH FLOW'!E28=0,BUDGET!E28=0),"",'CASH FLOW'!E28-BUDGET!E28)</f>
        <v/>
      </c>
      <c r="F28" s="22">
        <f>IF(AND('CASH FLOW'!F28=0,BUDGET!F28=0),"",'CASH FLOW'!F28-BUDGET!F28)</f>
        <v/>
      </c>
      <c r="G28" s="22">
        <f>IF(AND('CASH FLOW'!G28=0,BUDGET!G28=0),"",'CASH FLOW'!G28-BUDGET!G28)</f>
        <v/>
      </c>
      <c r="H28" s="22">
        <f>IF(AND('CASH FLOW'!H28=0,BUDGET!H28=0),"",'CASH FLOW'!H28-BUDGET!H28)</f>
        <v/>
      </c>
      <c r="I28" s="22">
        <f>IF(AND('CASH FLOW'!I28=0,BUDGET!I28=0),"",'CASH FLOW'!I28-BUDGET!I28)</f>
        <v/>
      </c>
      <c r="J28" s="22">
        <f>IF(AND('CASH FLOW'!J28=0,BUDGET!J28=0),"",'CASH FLOW'!J28-BUDGET!J28)</f>
        <v/>
      </c>
      <c r="K28" s="22">
        <f>IF(AND('CASH FLOW'!K28=0,BUDGET!K28=0),"",'CASH FLOW'!K28-BUDGET!K28)</f>
        <v/>
      </c>
      <c r="L28" s="22">
        <f>IF(AND('CASH FLOW'!L28=0,BUDGET!L28=0),"",'CASH FLOW'!L28-BUDGET!L28)</f>
        <v/>
      </c>
      <c r="M28" s="22">
        <f>IF(AND('CASH FLOW'!M28=0,BUDGET!M28=0),"",'CASH FLOW'!M28-BUDGET!M28)</f>
        <v/>
      </c>
      <c r="N28" s="22">
        <f>IF(AND('CASH FLOW'!N28=0,BUDGET!N28=0),"",'CASH FLOW'!N28-BUDGET!N28)</f>
        <v/>
      </c>
      <c r="O28" s="22">
        <f>IF(AND('CASH FLOW'!O28=0,BUDGET!O28=0),"",'CASH FLOW'!O28-BUDGET!O28)</f>
        <v/>
      </c>
      <c r="Q28" s="23">
        <f>IF(BUDGET!O28=0,"",('CASH FLOW'!O28-BUDGET!O28)/ABS(BUDGET!O28))</f>
        <v/>
      </c>
    </row>
    <row r="29">
      <c r="A29" s="13">
        <f>'CASH FLOW'!A29</f>
        <v/>
      </c>
      <c r="B29" s="13">
        <f>'CASH FLOW'!B29</f>
        <v/>
      </c>
      <c r="C29" s="22">
        <f>IF(AND('CASH FLOW'!C29=0,BUDGET!C29=0),"",'CASH FLOW'!C29-BUDGET!C29)</f>
        <v/>
      </c>
      <c r="D29" s="22">
        <f>IF(AND('CASH FLOW'!D29=0,BUDGET!D29=0),"",'CASH FLOW'!D29-BUDGET!D29)</f>
        <v/>
      </c>
      <c r="E29" s="22">
        <f>IF(AND('CASH FLOW'!E29=0,BUDGET!E29=0),"",'CASH FLOW'!E29-BUDGET!E29)</f>
        <v/>
      </c>
      <c r="F29" s="22">
        <f>IF(AND('CASH FLOW'!F29=0,BUDGET!F29=0),"",'CASH FLOW'!F29-BUDGET!F29)</f>
        <v/>
      </c>
      <c r="G29" s="22">
        <f>IF(AND('CASH FLOW'!G29=0,BUDGET!G29=0),"",'CASH FLOW'!G29-BUDGET!G29)</f>
        <v/>
      </c>
      <c r="H29" s="22">
        <f>IF(AND('CASH FLOW'!H29=0,BUDGET!H29=0),"",'CASH FLOW'!H29-BUDGET!H29)</f>
        <v/>
      </c>
      <c r="I29" s="22">
        <f>IF(AND('CASH FLOW'!I29=0,BUDGET!I29=0),"",'CASH FLOW'!I29-BUDGET!I29)</f>
        <v/>
      </c>
      <c r="J29" s="22">
        <f>IF(AND('CASH FLOW'!J29=0,BUDGET!J29=0),"",'CASH FLOW'!J29-BUDGET!J29)</f>
        <v/>
      </c>
      <c r="K29" s="22">
        <f>IF(AND('CASH FLOW'!K29=0,BUDGET!K29=0),"",'CASH FLOW'!K29-BUDGET!K29)</f>
        <v/>
      </c>
      <c r="L29" s="22">
        <f>IF(AND('CASH FLOW'!L29=0,BUDGET!L29=0),"",'CASH FLOW'!L29-BUDGET!L29)</f>
        <v/>
      </c>
      <c r="M29" s="22">
        <f>IF(AND('CASH FLOW'!M29=0,BUDGET!M29=0),"",'CASH FLOW'!M29-BUDGET!M29)</f>
        <v/>
      </c>
      <c r="N29" s="22">
        <f>IF(AND('CASH FLOW'!N29=0,BUDGET!N29=0),"",'CASH FLOW'!N29-BUDGET!N29)</f>
        <v/>
      </c>
      <c r="O29" s="22">
        <f>IF(AND('CASH FLOW'!O29=0,BUDGET!O29=0),"",'CASH FLOW'!O29-BUDGET!O29)</f>
        <v/>
      </c>
      <c r="Q29" s="23">
        <f>IF(BUDGET!O29=0,"",('CASH FLOW'!O29-BUDGET!O29)/ABS(BUDGET!O29))</f>
        <v/>
      </c>
    </row>
    <row r="30">
      <c r="A30" s="13">
        <f>'CASH FLOW'!A30</f>
        <v/>
      </c>
      <c r="B30" s="13">
        <f>'CASH FLOW'!B30</f>
        <v/>
      </c>
      <c r="C30" s="22">
        <f>IF(AND('CASH FLOW'!C30=0,BUDGET!C30=0),"",'CASH FLOW'!C30-BUDGET!C30)</f>
        <v/>
      </c>
      <c r="D30" s="22">
        <f>IF(AND('CASH FLOW'!D30=0,BUDGET!D30=0),"",'CASH FLOW'!D30-BUDGET!D30)</f>
        <v/>
      </c>
      <c r="E30" s="22">
        <f>IF(AND('CASH FLOW'!E30=0,BUDGET!E30=0),"",'CASH FLOW'!E30-BUDGET!E30)</f>
        <v/>
      </c>
      <c r="F30" s="22">
        <f>IF(AND('CASH FLOW'!F30=0,BUDGET!F30=0),"",'CASH FLOW'!F30-BUDGET!F30)</f>
        <v/>
      </c>
      <c r="G30" s="22">
        <f>IF(AND('CASH FLOW'!G30=0,BUDGET!G30=0),"",'CASH FLOW'!G30-BUDGET!G30)</f>
        <v/>
      </c>
      <c r="H30" s="22">
        <f>IF(AND('CASH FLOW'!H30=0,BUDGET!H30=0),"",'CASH FLOW'!H30-BUDGET!H30)</f>
        <v/>
      </c>
      <c r="I30" s="22">
        <f>IF(AND('CASH FLOW'!I30=0,BUDGET!I30=0),"",'CASH FLOW'!I30-BUDGET!I30)</f>
        <v/>
      </c>
      <c r="J30" s="22">
        <f>IF(AND('CASH FLOW'!J30=0,BUDGET!J30=0),"",'CASH FLOW'!J30-BUDGET!J30)</f>
        <v/>
      </c>
      <c r="K30" s="22">
        <f>IF(AND('CASH FLOW'!K30=0,BUDGET!K30=0),"",'CASH FLOW'!K30-BUDGET!K30)</f>
        <v/>
      </c>
      <c r="L30" s="22">
        <f>IF(AND('CASH FLOW'!L30=0,BUDGET!L30=0),"",'CASH FLOW'!L30-BUDGET!L30)</f>
        <v/>
      </c>
      <c r="M30" s="22">
        <f>IF(AND('CASH FLOW'!M30=0,BUDGET!M30=0),"",'CASH FLOW'!M30-BUDGET!M30)</f>
        <v/>
      </c>
      <c r="N30" s="22">
        <f>IF(AND('CASH FLOW'!N30=0,BUDGET!N30=0),"",'CASH FLOW'!N30-BUDGET!N30)</f>
        <v/>
      </c>
      <c r="O30" s="22">
        <f>IF(AND('CASH FLOW'!O30=0,BUDGET!O30=0),"",'CASH FLOW'!O30-BUDGET!O30)</f>
        <v/>
      </c>
      <c r="Q30" s="23">
        <f>IF(BUDGET!O30=0,"",('CASH FLOW'!O30-BUDGET!O30)/ABS(BUDGET!O30))</f>
        <v/>
      </c>
    </row>
    <row r="31">
      <c r="A31" s="13">
        <f>'CASH FLOW'!A31</f>
        <v/>
      </c>
      <c r="B31" s="13">
        <f>'CASH FLOW'!B31</f>
        <v/>
      </c>
      <c r="C31" s="22">
        <f>IF(AND('CASH FLOW'!C31=0,BUDGET!C31=0),"",'CASH FLOW'!C31-BUDGET!C31)</f>
        <v/>
      </c>
      <c r="D31" s="22">
        <f>IF(AND('CASH FLOW'!D31=0,BUDGET!D31=0),"",'CASH FLOW'!D31-BUDGET!D31)</f>
        <v/>
      </c>
      <c r="E31" s="22">
        <f>IF(AND('CASH FLOW'!E31=0,BUDGET!E31=0),"",'CASH FLOW'!E31-BUDGET!E31)</f>
        <v/>
      </c>
      <c r="F31" s="22">
        <f>IF(AND('CASH FLOW'!F31=0,BUDGET!F31=0),"",'CASH FLOW'!F31-BUDGET!F31)</f>
        <v/>
      </c>
      <c r="G31" s="22">
        <f>IF(AND('CASH FLOW'!G31=0,BUDGET!G31=0),"",'CASH FLOW'!G31-BUDGET!G31)</f>
        <v/>
      </c>
      <c r="H31" s="22">
        <f>IF(AND('CASH FLOW'!H31=0,BUDGET!H31=0),"",'CASH FLOW'!H31-BUDGET!H31)</f>
        <v/>
      </c>
      <c r="I31" s="22">
        <f>IF(AND('CASH FLOW'!I31=0,BUDGET!I31=0),"",'CASH FLOW'!I31-BUDGET!I31)</f>
        <v/>
      </c>
      <c r="J31" s="22">
        <f>IF(AND('CASH FLOW'!J31=0,BUDGET!J31=0),"",'CASH FLOW'!J31-BUDGET!J31)</f>
        <v/>
      </c>
      <c r="K31" s="22">
        <f>IF(AND('CASH FLOW'!K31=0,BUDGET!K31=0),"",'CASH FLOW'!K31-BUDGET!K31)</f>
        <v/>
      </c>
      <c r="L31" s="22">
        <f>IF(AND('CASH FLOW'!L31=0,BUDGET!L31=0),"",'CASH FLOW'!L31-BUDGET!L31)</f>
        <v/>
      </c>
      <c r="M31" s="22">
        <f>IF(AND('CASH FLOW'!M31=0,BUDGET!M31=0),"",'CASH FLOW'!M31-BUDGET!M31)</f>
        <v/>
      </c>
      <c r="N31" s="22">
        <f>IF(AND('CASH FLOW'!N31=0,BUDGET!N31=0),"",'CASH FLOW'!N31-BUDGET!N31)</f>
        <v/>
      </c>
      <c r="O31" s="22">
        <f>IF(AND('CASH FLOW'!O31=0,BUDGET!O31=0),"",'CASH FLOW'!O31-BUDGET!O31)</f>
        <v/>
      </c>
      <c r="Q31" s="23">
        <f>IF(BUDGET!O31=0,"",('CASH FLOW'!O31-BUDGET!O31)/ABS(BUDGET!O31))</f>
        <v/>
      </c>
    </row>
    <row r="32">
      <c r="A32" s="13">
        <f>'CASH FLOW'!A32</f>
        <v/>
      </c>
      <c r="B32" s="13">
        <f>'CASH FLOW'!B32</f>
        <v/>
      </c>
      <c r="C32" s="22">
        <f>IF(AND('CASH FLOW'!C32=0,BUDGET!C32=0),"",'CASH FLOW'!C32-BUDGET!C32)</f>
        <v/>
      </c>
      <c r="D32" s="22">
        <f>IF(AND('CASH FLOW'!D32=0,BUDGET!D32=0),"",'CASH FLOW'!D32-BUDGET!D32)</f>
        <v/>
      </c>
      <c r="E32" s="22">
        <f>IF(AND('CASH FLOW'!E32=0,BUDGET!E32=0),"",'CASH FLOW'!E32-BUDGET!E32)</f>
        <v/>
      </c>
      <c r="F32" s="22">
        <f>IF(AND('CASH FLOW'!F32=0,BUDGET!F32=0),"",'CASH FLOW'!F32-BUDGET!F32)</f>
        <v/>
      </c>
      <c r="G32" s="22">
        <f>IF(AND('CASH FLOW'!G32=0,BUDGET!G32=0),"",'CASH FLOW'!G32-BUDGET!G32)</f>
        <v/>
      </c>
      <c r="H32" s="22">
        <f>IF(AND('CASH FLOW'!H32=0,BUDGET!H32=0),"",'CASH FLOW'!H32-BUDGET!H32)</f>
        <v/>
      </c>
      <c r="I32" s="22">
        <f>IF(AND('CASH FLOW'!I32=0,BUDGET!I32=0),"",'CASH FLOW'!I32-BUDGET!I32)</f>
        <v/>
      </c>
      <c r="J32" s="22">
        <f>IF(AND('CASH FLOW'!J32=0,BUDGET!J32=0),"",'CASH FLOW'!J32-BUDGET!J32)</f>
        <v/>
      </c>
      <c r="K32" s="22">
        <f>IF(AND('CASH FLOW'!K32=0,BUDGET!K32=0),"",'CASH FLOW'!K32-BUDGET!K32)</f>
        <v/>
      </c>
      <c r="L32" s="22">
        <f>IF(AND('CASH FLOW'!L32=0,BUDGET!L32=0),"",'CASH FLOW'!L32-BUDGET!L32)</f>
        <v/>
      </c>
      <c r="M32" s="22">
        <f>IF(AND('CASH FLOW'!M32=0,BUDGET!M32=0),"",'CASH FLOW'!M32-BUDGET!M32)</f>
        <v/>
      </c>
      <c r="N32" s="22">
        <f>IF(AND('CASH FLOW'!N32=0,BUDGET!N32=0),"",'CASH FLOW'!N32-BUDGET!N32)</f>
        <v/>
      </c>
      <c r="O32" s="22">
        <f>IF(AND('CASH FLOW'!O32=0,BUDGET!O32=0),"",'CASH FLOW'!O32-BUDGET!O32)</f>
        <v/>
      </c>
      <c r="Q32" s="23">
        <f>IF(BUDGET!O32=0,"",('CASH FLOW'!O32-BUDGET!O32)/ABS(BUDGET!O32))</f>
        <v/>
      </c>
    </row>
    <row r="33">
      <c r="A33" s="13">
        <f>'CASH FLOW'!A33</f>
        <v/>
      </c>
      <c r="B33" s="13">
        <f>'CASH FLOW'!B33</f>
        <v/>
      </c>
      <c r="C33" s="22">
        <f>IF(AND('CASH FLOW'!C33=0,BUDGET!C33=0),"",'CASH FLOW'!C33-BUDGET!C33)</f>
        <v/>
      </c>
      <c r="D33" s="22">
        <f>IF(AND('CASH FLOW'!D33=0,BUDGET!D33=0),"",'CASH FLOW'!D33-BUDGET!D33)</f>
        <v/>
      </c>
      <c r="E33" s="22">
        <f>IF(AND('CASH FLOW'!E33=0,BUDGET!E33=0),"",'CASH FLOW'!E33-BUDGET!E33)</f>
        <v/>
      </c>
      <c r="F33" s="22">
        <f>IF(AND('CASH FLOW'!F33=0,BUDGET!F33=0),"",'CASH FLOW'!F33-BUDGET!F33)</f>
        <v/>
      </c>
      <c r="G33" s="22">
        <f>IF(AND('CASH FLOW'!G33=0,BUDGET!G33=0),"",'CASH FLOW'!G33-BUDGET!G33)</f>
        <v/>
      </c>
      <c r="H33" s="22">
        <f>IF(AND('CASH FLOW'!H33=0,BUDGET!H33=0),"",'CASH FLOW'!H33-BUDGET!H33)</f>
        <v/>
      </c>
      <c r="I33" s="22">
        <f>IF(AND('CASH FLOW'!I33=0,BUDGET!I33=0),"",'CASH FLOW'!I33-BUDGET!I33)</f>
        <v/>
      </c>
      <c r="J33" s="22">
        <f>IF(AND('CASH FLOW'!J33=0,BUDGET!J33=0),"",'CASH FLOW'!J33-BUDGET!J33)</f>
        <v/>
      </c>
      <c r="K33" s="22">
        <f>IF(AND('CASH FLOW'!K33=0,BUDGET!K33=0),"",'CASH FLOW'!K33-BUDGET!K33)</f>
        <v/>
      </c>
      <c r="L33" s="22">
        <f>IF(AND('CASH FLOW'!L33=0,BUDGET!L33=0),"",'CASH FLOW'!L33-BUDGET!L33)</f>
        <v/>
      </c>
      <c r="M33" s="22">
        <f>IF(AND('CASH FLOW'!M33=0,BUDGET!M33=0),"",'CASH FLOW'!M33-BUDGET!M33)</f>
        <v/>
      </c>
      <c r="N33" s="22">
        <f>IF(AND('CASH FLOW'!N33=0,BUDGET!N33=0),"",'CASH FLOW'!N33-BUDGET!N33)</f>
        <v/>
      </c>
      <c r="O33" s="22">
        <f>IF(AND('CASH FLOW'!O33=0,BUDGET!O33=0),"",'CASH FLOW'!O33-BUDGET!O33)</f>
        <v/>
      </c>
      <c r="Q33" s="23">
        <f>IF(BUDGET!O33=0,"",('CASH FLOW'!O33-BUDGET!O33)/ABS(BUDGET!O33))</f>
        <v/>
      </c>
    </row>
    <row r="34">
      <c r="A34" s="13">
        <f>'CASH FLOW'!A34</f>
        <v/>
      </c>
      <c r="B34" s="13">
        <f>'CASH FLOW'!B34</f>
        <v/>
      </c>
      <c r="C34" s="22">
        <f>IF(AND('CASH FLOW'!C34=0,BUDGET!C34=0),"",'CASH FLOW'!C34-BUDGET!C34)</f>
        <v/>
      </c>
      <c r="D34" s="22">
        <f>IF(AND('CASH FLOW'!D34=0,BUDGET!D34=0),"",'CASH FLOW'!D34-BUDGET!D34)</f>
        <v/>
      </c>
      <c r="E34" s="22">
        <f>IF(AND('CASH FLOW'!E34=0,BUDGET!E34=0),"",'CASH FLOW'!E34-BUDGET!E34)</f>
        <v/>
      </c>
      <c r="F34" s="22">
        <f>IF(AND('CASH FLOW'!F34=0,BUDGET!F34=0),"",'CASH FLOW'!F34-BUDGET!F34)</f>
        <v/>
      </c>
      <c r="G34" s="22">
        <f>IF(AND('CASH FLOW'!G34=0,BUDGET!G34=0),"",'CASH FLOW'!G34-BUDGET!G34)</f>
        <v/>
      </c>
      <c r="H34" s="22">
        <f>IF(AND('CASH FLOW'!H34=0,BUDGET!H34=0),"",'CASH FLOW'!H34-BUDGET!H34)</f>
        <v/>
      </c>
      <c r="I34" s="22">
        <f>IF(AND('CASH FLOW'!I34=0,BUDGET!I34=0),"",'CASH FLOW'!I34-BUDGET!I34)</f>
        <v/>
      </c>
      <c r="J34" s="22">
        <f>IF(AND('CASH FLOW'!J34=0,BUDGET!J34=0),"",'CASH FLOW'!J34-BUDGET!J34)</f>
        <v/>
      </c>
      <c r="K34" s="22">
        <f>IF(AND('CASH FLOW'!K34=0,BUDGET!K34=0),"",'CASH FLOW'!K34-BUDGET!K34)</f>
        <v/>
      </c>
      <c r="L34" s="22">
        <f>IF(AND('CASH FLOW'!L34=0,BUDGET!L34=0),"",'CASH FLOW'!L34-BUDGET!L34)</f>
        <v/>
      </c>
      <c r="M34" s="22">
        <f>IF(AND('CASH FLOW'!M34=0,BUDGET!M34=0),"",'CASH FLOW'!M34-BUDGET!M34)</f>
        <v/>
      </c>
      <c r="N34" s="22">
        <f>IF(AND('CASH FLOW'!N34=0,BUDGET!N34=0),"",'CASH FLOW'!N34-BUDGET!N34)</f>
        <v/>
      </c>
      <c r="O34" s="22">
        <f>IF(AND('CASH FLOW'!O34=0,BUDGET!O34=0),"",'CASH FLOW'!O34-BUDGET!O34)</f>
        <v/>
      </c>
      <c r="Q34" s="23">
        <f>IF(BUDGET!O34=0,"",('CASH FLOW'!O34-BUDGET!O34)/ABS(BUDGET!O34))</f>
        <v/>
      </c>
    </row>
    <row r="35">
      <c r="A35" s="13">
        <f>'CASH FLOW'!A35</f>
        <v/>
      </c>
      <c r="B35" s="13">
        <f>'CASH FLOW'!B35</f>
        <v/>
      </c>
      <c r="C35" s="22">
        <f>IF(AND('CASH FLOW'!C35=0,BUDGET!C35=0),"",'CASH FLOW'!C35-BUDGET!C35)</f>
        <v/>
      </c>
      <c r="D35" s="22">
        <f>IF(AND('CASH FLOW'!D35=0,BUDGET!D35=0),"",'CASH FLOW'!D35-BUDGET!D35)</f>
        <v/>
      </c>
      <c r="E35" s="22">
        <f>IF(AND('CASH FLOW'!E35=0,BUDGET!E35=0),"",'CASH FLOW'!E35-BUDGET!E35)</f>
        <v/>
      </c>
      <c r="F35" s="22">
        <f>IF(AND('CASH FLOW'!F35=0,BUDGET!F35=0),"",'CASH FLOW'!F35-BUDGET!F35)</f>
        <v/>
      </c>
      <c r="G35" s="22">
        <f>IF(AND('CASH FLOW'!G35=0,BUDGET!G35=0),"",'CASH FLOW'!G35-BUDGET!G35)</f>
        <v/>
      </c>
      <c r="H35" s="22">
        <f>IF(AND('CASH FLOW'!H35=0,BUDGET!H35=0),"",'CASH FLOW'!H35-BUDGET!H35)</f>
        <v/>
      </c>
      <c r="I35" s="22">
        <f>IF(AND('CASH FLOW'!I35=0,BUDGET!I35=0),"",'CASH FLOW'!I35-BUDGET!I35)</f>
        <v/>
      </c>
      <c r="J35" s="22">
        <f>IF(AND('CASH FLOW'!J35=0,BUDGET!J35=0),"",'CASH FLOW'!J35-BUDGET!J35)</f>
        <v/>
      </c>
      <c r="K35" s="22">
        <f>IF(AND('CASH FLOW'!K35=0,BUDGET!K35=0),"",'CASH FLOW'!K35-BUDGET!K35)</f>
        <v/>
      </c>
      <c r="L35" s="22">
        <f>IF(AND('CASH FLOW'!L35=0,BUDGET!L35=0),"",'CASH FLOW'!L35-BUDGET!L35)</f>
        <v/>
      </c>
      <c r="M35" s="22">
        <f>IF(AND('CASH FLOW'!M35=0,BUDGET!M35=0),"",'CASH FLOW'!M35-BUDGET!M35)</f>
        <v/>
      </c>
      <c r="N35" s="22">
        <f>IF(AND('CASH FLOW'!N35=0,BUDGET!N35=0),"",'CASH FLOW'!N35-BUDGET!N35)</f>
        <v/>
      </c>
      <c r="O35" s="22">
        <f>IF(AND('CASH FLOW'!O35=0,BUDGET!O35=0),"",'CASH FLOW'!O35-BUDGET!O35)</f>
        <v/>
      </c>
      <c r="Q35" s="23">
        <f>IF(BUDGET!O35=0,"",('CASH FLOW'!O35-BUDGET!O35)/ABS(BUDGET!O35))</f>
        <v/>
      </c>
    </row>
    <row r="36">
      <c r="A36" s="13">
        <f>'CASH FLOW'!A36</f>
        <v/>
      </c>
      <c r="B36" s="13">
        <f>'CASH FLOW'!B36</f>
        <v/>
      </c>
      <c r="C36" s="22">
        <f>IF(AND('CASH FLOW'!C36=0,BUDGET!C36=0),"",'CASH FLOW'!C36-BUDGET!C36)</f>
        <v/>
      </c>
      <c r="D36" s="22">
        <f>IF(AND('CASH FLOW'!D36=0,BUDGET!D36=0),"",'CASH FLOW'!D36-BUDGET!D36)</f>
        <v/>
      </c>
      <c r="E36" s="22">
        <f>IF(AND('CASH FLOW'!E36=0,BUDGET!E36=0),"",'CASH FLOW'!E36-BUDGET!E36)</f>
        <v/>
      </c>
      <c r="F36" s="22">
        <f>IF(AND('CASH FLOW'!F36=0,BUDGET!F36=0),"",'CASH FLOW'!F36-BUDGET!F36)</f>
        <v/>
      </c>
      <c r="G36" s="22">
        <f>IF(AND('CASH FLOW'!G36=0,BUDGET!G36=0),"",'CASH FLOW'!G36-BUDGET!G36)</f>
        <v/>
      </c>
      <c r="H36" s="22">
        <f>IF(AND('CASH FLOW'!H36=0,BUDGET!H36=0),"",'CASH FLOW'!H36-BUDGET!H36)</f>
        <v/>
      </c>
      <c r="I36" s="22">
        <f>IF(AND('CASH FLOW'!I36=0,BUDGET!I36=0),"",'CASH FLOW'!I36-BUDGET!I36)</f>
        <v/>
      </c>
      <c r="J36" s="22">
        <f>IF(AND('CASH FLOW'!J36=0,BUDGET!J36=0),"",'CASH FLOW'!J36-BUDGET!J36)</f>
        <v/>
      </c>
      <c r="K36" s="22">
        <f>IF(AND('CASH FLOW'!K36=0,BUDGET!K36=0),"",'CASH FLOW'!K36-BUDGET!K36)</f>
        <v/>
      </c>
      <c r="L36" s="22">
        <f>IF(AND('CASH FLOW'!L36=0,BUDGET!L36=0),"",'CASH FLOW'!L36-BUDGET!L36)</f>
        <v/>
      </c>
      <c r="M36" s="22">
        <f>IF(AND('CASH FLOW'!M36=0,BUDGET!M36=0),"",'CASH FLOW'!M36-BUDGET!M36)</f>
        <v/>
      </c>
      <c r="N36" s="22">
        <f>IF(AND('CASH FLOW'!N36=0,BUDGET!N36=0),"",'CASH FLOW'!N36-BUDGET!N36)</f>
        <v/>
      </c>
      <c r="O36" s="22">
        <f>IF(AND('CASH FLOW'!O36=0,BUDGET!O36=0),"",'CASH FLOW'!O36-BUDGET!O36)</f>
        <v/>
      </c>
      <c r="Q36" s="23">
        <f>IF(BUDGET!O36=0,"",('CASH FLOW'!O36-BUDGET!O36)/ABS(BUDGET!O36))</f>
        <v/>
      </c>
    </row>
    <row r="37">
      <c r="A37" s="13">
        <f>'CASH FLOW'!A37</f>
        <v/>
      </c>
      <c r="B37" s="13">
        <f>'CASH FLOW'!B37</f>
        <v/>
      </c>
      <c r="C37" s="22">
        <f>IF(AND('CASH FLOW'!C37=0,BUDGET!C37=0),"",'CASH FLOW'!C37-BUDGET!C37)</f>
        <v/>
      </c>
      <c r="D37" s="22">
        <f>IF(AND('CASH FLOW'!D37=0,BUDGET!D37=0),"",'CASH FLOW'!D37-BUDGET!D37)</f>
        <v/>
      </c>
      <c r="E37" s="22">
        <f>IF(AND('CASH FLOW'!E37=0,BUDGET!E37=0),"",'CASH FLOW'!E37-BUDGET!E37)</f>
        <v/>
      </c>
      <c r="F37" s="22">
        <f>IF(AND('CASH FLOW'!F37=0,BUDGET!F37=0),"",'CASH FLOW'!F37-BUDGET!F37)</f>
        <v/>
      </c>
      <c r="G37" s="22">
        <f>IF(AND('CASH FLOW'!G37=0,BUDGET!G37=0),"",'CASH FLOW'!G37-BUDGET!G37)</f>
        <v/>
      </c>
      <c r="H37" s="22">
        <f>IF(AND('CASH FLOW'!H37=0,BUDGET!H37=0),"",'CASH FLOW'!H37-BUDGET!H37)</f>
        <v/>
      </c>
      <c r="I37" s="22">
        <f>IF(AND('CASH FLOW'!I37=0,BUDGET!I37=0),"",'CASH FLOW'!I37-BUDGET!I37)</f>
        <v/>
      </c>
      <c r="J37" s="22">
        <f>IF(AND('CASH FLOW'!J37=0,BUDGET!J37=0),"",'CASH FLOW'!J37-BUDGET!J37)</f>
        <v/>
      </c>
      <c r="K37" s="22">
        <f>IF(AND('CASH FLOW'!K37=0,BUDGET!K37=0),"",'CASH FLOW'!K37-BUDGET!K37)</f>
        <v/>
      </c>
      <c r="L37" s="22">
        <f>IF(AND('CASH FLOW'!L37=0,BUDGET!L37=0),"",'CASH FLOW'!L37-BUDGET!L37)</f>
        <v/>
      </c>
      <c r="M37" s="22">
        <f>IF(AND('CASH FLOW'!M37=0,BUDGET!M37=0),"",'CASH FLOW'!M37-BUDGET!M37)</f>
        <v/>
      </c>
      <c r="N37" s="22">
        <f>IF(AND('CASH FLOW'!N37=0,BUDGET!N37=0),"",'CASH FLOW'!N37-BUDGET!N37)</f>
        <v/>
      </c>
      <c r="O37" s="22">
        <f>IF(AND('CASH FLOW'!O37=0,BUDGET!O37=0),"",'CASH FLOW'!O37-BUDGET!O37)</f>
        <v/>
      </c>
      <c r="Q37" s="23">
        <f>IF(BUDGET!O37=0,"",('CASH FLOW'!O37-BUDGET!O37)/ABS(BUDGET!O37))</f>
        <v/>
      </c>
    </row>
    <row r="38">
      <c r="A38" s="13">
        <f>'CASH FLOW'!A38</f>
        <v/>
      </c>
      <c r="B38" s="13">
        <f>'CASH FLOW'!B38</f>
        <v/>
      </c>
      <c r="C38" s="22">
        <f>IF(AND('CASH FLOW'!C38=0,BUDGET!C38=0),"",'CASH FLOW'!C38-BUDGET!C38)</f>
        <v/>
      </c>
      <c r="D38" s="22">
        <f>IF(AND('CASH FLOW'!D38=0,BUDGET!D38=0),"",'CASH FLOW'!D38-BUDGET!D38)</f>
        <v/>
      </c>
      <c r="E38" s="22">
        <f>IF(AND('CASH FLOW'!E38=0,BUDGET!E38=0),"",'CASH FLOW'!E38-BUDGET!E38)</f>
        <v/>
      </c>
      <c r="F38" s="22">
        <f>IF(AND('CASH FLOW'!F38=0,BUDGET!F38=0),"",'CASH FLOW'!F38-BUDGET!F38)</f>
        <v/>
      </c>
      <c r="G38" s="22">
        <f>IF(AND('CASH FLOW'!G38=0,BUDGET!G38=0),"",'CASH FLOW'!G38-BUDGET!G38)</f>
        <v/>
      </c>
      <c r="H38" s="22">
        <f>IF(AND('CASH FLOW'!H38=0,BUDGET!H38=0),"",'CASH FLOW'!H38-BUDGET!H38)</f>
        <v/>
      </c>
      <c r="I38" s="22">
        <f>IF(AND('CASH FLOW'!I38=0,BUDGET!I38=0),"",'CASH FLOW'!I38-BUDGET!I38)</f>
        <v/>
      </c>
      <c r="J38" s="22">
        <f>IF(AND('CASH FLOW'!J38=0,BUDGET!J38=0),"",'CASH FLOW'!J38-BUDGET!J38)</f>
        <v/>
      </c>
      <c r="K38" s="22">
        <f>IF(AND('CASH FLOW'!K38=0,BUDGET!K38=0),"",'CASH FLOW'!K38-BUDGET!K38)</f>
        <v/>
      </c>
      <c r="L38" s="22">
        <f>IF(AND('CASH FLOW'!L38=0,BUDGET!L38=0),"",'CASH FLOW'!L38-BUDGET!L38)</f>
        <v/>
      </c>
      <c r="M38" s="22">
        <f>IF(AND('CASH FLOW'!M38=0,BUDGET!M38=0),"",'CASH FLOW'!M38-BUDGET!M38)</f>
        <v/>
      </c>
      <c r="N38" s="22">
        <f>IF(AND('CASH FLOW'!N38=0,BUDGET!N38=0),"",'CASH FLOW'!N38-BUDGET!N38)</f>
        <v/>
      </c>
      <c r="O38" s="22">
        <f>IF(AND('CASH FLOW'!O38=0,BUDGET!O38=0),"",'CASH FLOW'!O38-BUDGET!O38)</f>
        <v/>
      </c>
      <c r="Q38" s="23">
        <f>IF(BUDGET!O38=0,"",('CASH FLOW'!O38-BUDGET!O38)/ABS(BUDGET!O38))</f>
        <v/>
      </c>
    </row>
    <row r="39">
      <c r="A39" s="13">
        <f>'CASH FLOW'!A39</f>
        <v/>
      </c>
      <c r="B39" s="13">
        <f>'CASH FLOW'!B39</f>
        <v/>
      </c>
      <c r="C39" s="22">
        <f>IF(AND('CASH FLOW'!C39=0,BUDGET!C39=0),"",'CASH FLOW'!C39-BUDGET!C39)</f>
        <v/>
      </c>
      <c r="D39" s="22">
        <f>IF(AND('CASH FLOW'!D39=0,BUDGET!D39=0),"",'CASH FLOW'!D39-BUDGET!D39)</f>
        <v/>
      </c>
      <c r="E39" s="22">
        <f>IF(AND('CASH FLOW'!E39=0,BUDGET!E39=0),"",'CASH FLOW'!E39-BUDGET!E39)</f>
        <v/>
      </c>
      <c r="F39" s="22">
        <f>IF(AND('CASH FLOW'!F39=0,BUDGET!F39=0),"",'CASH FLOW'!F39-BUDGET!F39)</f>
        <v/>
      </c>
      <c r="G39" s="22">
        <f>IF(AND('CASH FLOW'!G39=0,BUDGET!G39=0),"",'CASH FLOW'!G39-BUDGET!G39)</f>
        <v/>
      </c>
      <c r="H39" s="22">
        <f>IF(AND('CASH FLOW'!H39=0,BUDGET!H39=0),"",'CASH FLOW'!H39-BUDGET!H39)</f>
        <v/>
      </c>
      <c r="I39" s="22">
        <f>IF(AND('CASH FLOW'!I39=0,BUDGET!I39=0),"",'CASH FLOW'!I39-BUDGET!I39)</f>
        <v/>
      </c>
      <c r="J39" s="22">
        <f>IF(AND('CASH FLOW'!J39=0,BUDGET!J39=0),"",'CASH FLOW'!J39-BUDGET!J39)</f>
        <v/>
      </c>
      <c r="K39" s="22">
        <f>IF(AND('CASH FLOW'!K39=0,BUDGET!K39=0),"",'CASH FLOW'!K39-BUDGET!K39)</f>
        <v/>
      </c>
      <c r="L39" s="22">
        <f>IF(AND('CASH FLOW'!L39=0,BUDGET!L39=0),"",'CASH FLOW'!L39-BUDGET!L39)</f>
        <v/>
      </c>
      <c r="M39" s="22">
        <f>IF(AND('CASH FLOW'!M39=0,BUDGET!M39=0),"",'CASH FLOW'!M39-BUDGET!M39)</f>
        <v/>
      </c>
      <c r="N39" s="22">
        <f>IF(AND('CASH FLOW'!N39=0,BUDGET!N39=0),"",'CASH FLOW'!N39-BUDGET!N39)</f>
        <v/>
      </c>
      <c r="O39" s="22">
        <f>IF(AND('CASH FLOW'!O39=0,BUDGET!O39=0),"",'CASH FLOW'!O39-BUDGET!O39)</f>
        <v/>
      </c>
      <c r="Q39" s="23">
        <f>IF(BUDGET!O39=0,"",('CASH FLOW'!O39-BUDGET!O39)/ABS(BUDGET!O39))</f>
        <v/>
      </c>
    </row>
    <row r="40">
      <c r="A40" s="13">
        <f>'CASH FLOW'!A40</f>
        <v/>
      </c>
      <c r="B40" s="13">
        <f>'CASH FLOW'!B40</f>
        <v/>
      </c>
      <c r="C40" s="22">
        <f>IF(AND('CASH FLOW'!C40=0,BUDGET!C40=0),"",'CASH FLOW'!C40-BUDGET!C40)</f>
        <v/>
      </c>
      <c r="D40" s="22">
        <f>IF(AND('CASH FLOW'!D40=0,BUDGET!D40=0),"",'CASH FLOW'!D40-BUDGET!D40)</f>
        <v/>
      </c>
      <c r="E40" s="22">
        <f>IF(AND('CASH FLOW'!E40=0,BUDGET!E40=0),"",'CASH FLOW'!E40-BUDGET!E40)</f>
        <v/>
      </c>
      <c r="F40" s="22">
        <f>IF(AND('CASH FLOW'!F40=0,BUDGET!F40=0),"",'CASH FLOW'!F40-BUDGET!F40)</f>
        <v/>
      </c>
      <c r="G40" s="22">
        <f>IF(AND('CASH FLOW'!G40=0,BUDGET!G40=0),"",'CASH FLOW'!G40-BUDGET!G40)</f>
        <v/>
      </c>
      <c r="H40" s="22">
        <f>IF(AND('CASH FLOW'!H40=0,BUDGET!H40=0),"",'CASH FLOW'!H40-BUDGET!H40)</f>
        <v/>
      </c>
      <c r="I40" s="22">
        <f>IF(AND('CASH FLOW'!I40=0,BUDGET!I40=0),"",'CASH FLOW'!I40-BUDGET!I40)</f>
        <v/>
      </c>
      <c r="J40" s="22">
        <f>IF(AND('CASH FLOW'!J40=0,BUDGET!J40=0),"",'CASH FLOW'!J40-BUDGET!J40)</f>
        <v/>
      </c>
      <c r="K40" s="22">
        <f>IF(AND('CASH FLOW'!K40=0,BUDGET!K40=0),"",'CASH FLOW'!K40-BUDGET!K40)</f>
        <v/>
      </c>
      <c r="L40" s="22">
        <f>IF(AND('CASH FLOW'!L40=0,BUDGET!L40=0),"",'CASH FLOW'!L40-BUDGET!L40)</f>
        <v/>
      </c>
      <c r="M40" s="22">
        <f>IF(AND('CASH FLOW'!M40=0,BUDGET!M40=0),"",'CASH FLOW'!M40-BUDGET!M40)</f>
        <v/>
      </c>
      <c r="N40" s="22">
        <f>IF(AND('CASH FLOW'!N40=0,BUDGET!N40=0),"",'CASH FLOW'!N40-BUDGET!N40)</f>
        <v/>
      </c>
      <c r="O40" s="22">
        <f>IF(AND('CASH FLOW'!O40=0,BUDGET!O40=0),"",'CASH FLOW'!O40-BUDGET!O40)</f>
        <v/>
      </c>
      <c r="Q40" s="23">
        <f>IF(BUDGET!O40=0,"",('CASH FLOW'!O40-BUDGET!O40)/ABS(BUDGET!O40))</f>
        <v/>
      </c>
    </row>
    <row r="41">
      <c r="A41" s="13">
        <f>'CASH FLOW'!A41</f>
        <v/>
      </c>
      <c r="B41" s="13">
        <f>'CASH FLOW'!B41</f>
        <v/>
      </c>
      <c r="C41" s="22">
        <f>IF(AND('CASH FLOW'!C41=0,BUDGET!C41=0),"",'CASH FLOW'!C41-BUDGET!C41)</f>
        <v/>
      </c>
      <c r="D41" s="22">
        <f>IF(AND('CASH FLOW'!D41=0,BUDGET!D41=0),"",'CASH FLOW'!D41-BUDGET!D41)</f>
        <v/>
      </c>
      <c r="E41" s="22">
        <f>IF(AND('CASH FLOW'!E41=0,BUDGET!E41=0),"",'CASH FLOW'!E41-BUDGET!E41)</f>
        <v/>
      </c>
      <c r="F41" s="22">
        <f>IF(AND('CASH FLOW'!F41=0,BUDGET!F41=0),"",'CASH FLOW'!F41-BUDGET!F41)</f>
        <v/>
      </c>
      <c r="G41" s="22">
        <f>IF(AND('CASH FLOW'!G41=0,BUDGET!G41=0),"",'CASH FLOW'!G41-BUDGET!G41)</f>
        <v/>
      </c>
      <c r="H41" s="22">
        <f>IF(AND('CASH FLOW'!H41=0,BUDGET!H41=0),"",'CASH FLOW'!H41-BUDGET!H41)</f>
        <v/>
      </c>
      <c r="I41" s="22">
        <f>IF(AND('CASH FLOW'!I41=0,BUDGET!I41=0),"",'CASH FLOW'!I41-BUDGET!I41)</f>
        <v/>
      </c>
      <c r="J41" s="22">
        <f>IF(AND('CASH FLOW'!J41=0,BUDGET!J41=0),"",'CASH FLOW'!J41-BUDGET!J41)</f>
        <v/>
      </c>
      <c r="K41" s="22">
        <f>IF(AND('CASH FLOW'!K41=0,BUDGET!K41=0),"",'CASH FLOW'!K41-BUDGET!K41)</f>
        <v/>
      </c>
      <c r="L41" s="22">
        <f>IF(AND('CASH FLOW'!L41=0,BUDGET!L41=0),"",'CASH FLOW'!L41-BUDGET!L41)</f>
        <v/>
      </c>
      <c r="M41" s="22">
        <f>IF(AND('CASH FLOW'!M41=0,BUDGET!M41=0),"",'CASH FLOW'!M41-BUDGET!M41)</f>
        <v/>
      </c>
      <c r="N41" s="22">
        <f>IF(AND('CASH FLOW'!N41=0,BUDGET!N41=0),"",'CASH FLOW'!N41-BUDGET!N41)</f>
        <v/>
      </c>
      <c r="O41" s="22">
        <f>IF(AND('CASH FLOW'!O41=0,BUDGET!O41=0),"",'CASH FLOW'!O41-BUDGET!O41)</f>
        <v/>
      </c>
      <c r="Q41" s="23">
        <f>IF(BUDGET!O41=0,"",('CASH FLOW'!O41-BUDGET!O41)/ABS(BUDGET!O41))</f>
        <v/>
      </c>
    </row>
    <row r="42">
      <c r="A42" s="13">
        <f>'CASH FLOW'!A42</f>
        <v/>
      </c>
      <c r="B42" s="13">
        <f>'CASH FLOW'!B42</f>
        <v/>
      </c>
      <c r="C42" s="22">
        <f>IF(AND('CASH FLOW'!C42=0,BUDGET!C42=0),"",'CASH FLOW'!C42-BUDGET!C42)</f>
        <v/>
      </c>
      <c r="D42" s="22">
        <f>IF(AND('CASH FLOW'!D42=0,BUDGET!D42=0),"",'CASH FLOW'!D42-BUDGET!D42)</f>
        <v/>
      </c>
      <c r="E42" s="22">
        <f>IF(AND('CASH FLOW'!E42=0,BUDGET!E42=0),"",'CASH FLOW'!E42-BUDGET!E42)</f>
        <v/>
      </c>
      <c r="F42" s="22">
        <f>IF(AND('CASH FLOW'!F42=0,BUDGET!F42=0),"",'CASH FLOW'!F42-BUDGET!F42)</f>
        <v/>
      </c>
      <c r="G42" s="22">
        <f>IF(AND('CASH FLOW'!G42=0,BUDGET!G42=0),"",'CASH FLOW'!G42-BUDGET!G42)</f>
        <v/>
      </c>
      <c r="H42" s="22">
        <f>IF(AND('CASH FLOW'!H42=0,BUDGET!H42=0),"",'CASH FLOW'!H42-BUDGET!H42)</f>
        <v/>
      </c>
      <c r="I42" s="22">
        <f>IF(AND('CASH FLOW'!I42=0,BUDGET!I42=0),"",'CASH FLOW'!I42-BUDGET!I42)</f>
        <v/>
      </c>
      <c r="J42" s="22">
        <f>IF(AND('CASH FLOW'!J42=0,BUDGET!J42=0),"",'CASH FLOW'!J42-BUDGET!J42)</f>
        <v/>
      </c>
      <c r="K42" s="22">
        <f>IF(AND('CASH FLOW'!K42=0,BUDGET!K42=0),"",'CASH FLOW'!K42-BUDGET!K42)</f>
        <v/>
      </c>
      <c r="L42" s="22">
        <f>IF(AND('CASH FLOW'!L42=0,BUDGET!L42=0),"",'CASH FLOW'!L42-BUDGET!L42)</f>
        <v/>
      </c>
      <c r="M42" s="22">
        <f>IF(AND('CASH FLOW'!M42=0,BUDGET!M42=0),"",'CASH FLOW'!M42-BUDGET!M42)</f>
        <v/>
      </c>
      <c r="N42" s="22">
        <f>IF(AND('CASH FLOW'!N42=0,BUDGET!N42=0),"",'CASH FLOW'!N42-BUDGET!N42)</f>
        <v/>
      </c>
      <c r="O42" s="22">
        <f>IF(AND('CASH FLOW'!O42=0,BUDGET!O42=0),"",'CASH FLOW'!O42-BUDGET!O42)</f>
        <v/>
      </c>
      <c r="Q42" s="23">
        <f>IF(BUDGET!O42=0,"",('CASH FLOW'!O42-BUDGET!O42)/ABS(BUDGET!O42))</f>
        <v/>
      </c>
    </row>
    <row r="43">
      <c r="A43" s="13">
        <f>'CASH FLOW'!A43</f>
        <v/>
      </c>
      <c r="B43" s="13">
        <f>'CASH FLOW'!B43</f>
        <v/>
      </c>
      <c r="C43" s="22">
        <f>IF(AND('CASH FLOW'!C43=0,BUDGET!C43=0),"",'CASH FLOW'!C43-BUDGET!C43)</f>
        <v/>
      </c>
      <c r="D43" s="22">
        <f>IF(AND('CASH FLOW'!D43=0,BUDGET!D43=0),"",'CASH FLOW'!D43-BUDGET!D43)</f>
        <v/>
      </c>
      <c r="E43" s="22">
        <f>IF(AND('CASH FLOW'!E43=0,BUDGET!E43=0),"",'CASH FLOW'!E43-BUDGET!E43)</f>
        <v/>
      </c>
      <c r="F43" s="22">
        <f>IF(AND('CASH FLOW'!F43=0,BUDGET!F43=0),"",'CASH FLOW'!F43-BUDGET!F43)</f>
        <v/>
      </c>
      <c r="G43" s="22">
        <f>IF(AND('CASH FLOW'!G43=0,BUDGET!G43=0),"",'CASH FLOW'!G43-BUDGET!G43)</f>
        <v/>
      </c>
      <c r="H43" s="22">
        <f>IF(AND('CASH FLOW'!H43=0,BUDGET!H43=0),"",'CASH FLOW'!H43-BUDGET!H43)</f>
        <v/>
      </c>
      <c r="I43" s="22">
        <f>IF(AND('CASH FLOW'!I43=0,BUDGET!I43=0),"",'CASH FLOW'!I43-BUDGET!I43)</f>
        <v/>
      </c>
      <c r="J43" s="22">
        <f>IF(AND('CASH FLOW'!J43=0,BUDGET!J43=0),"",'CASH FLOW'!J43-BUDGET!J43)</f>
        <v/>
      </c>
      <c r="K43" s="22">
        <f>IF(AND('CASH FLOW'!K43=0,BUDGET!K43=0),"",'CASH FLOW'!K43-BUDGET!K43)</f>
        <v/>
      </c>
      <c r="L43" s="22">
        <f>IF(AND('CASH FLOW'!L43=0,BUDGET!L43=0),"",'CASH FLOW'!L43-BUDGET!L43)</f>
        <v/>
      </c>
      <c r="M43" s="22">
        <f>IF(AND('CASH FLOW'!M43=0,BUDGET!M43=0),"",'CASH FLOW'!M43-BUDGET!M43)</f>
        <v/>
      </c>
      <c r="N43" s="22">
        <f>IF(AND('CASH FLOW'!N43=0,BUDGET!N43=0),"",'CASH FLOW'!N43-BUDGET!N43)</f>
        <v/>
      </c>
      <c r="O43" s="22">
        <f>IF(AND('CASH FLOW'!O43=0,BUDGET!O43=0),"",'CASH FLOW'!O43-BUDGET!O43)</f>
        <v/>
      </c>
      <c r="Q43" s="23">
        <f>IF(BUDGET!O43=0,"",('CASH FLOW'!O43-BUDGET!O43)/ABS(BUDGET!O43))</f>
        <v/>
      </c>
    </row>
    <row r="44">
      <c r="A44" s="13">
        <f>'CASH FLOW'!A44</f>
        <v/>
      </c>
      <c r="B44" s="13">
        <f>'CASH FLOW'!B44</f>
        <v/>
      </c>
      <c r="C44" s="22">
        <f>IF(AND('CASH FLOW'!C44=0,BUDGET!C44=0),"",'CASH FLOW'!C44-BUDGET!C44)</f>
        <v/>
      </c>
      <c r="D44" s="22">
        <f>IF(AND('CASH FLOW'!D44=0,BUDGET!D44=0),"",'CASH FLOW'!D44-BUDGET!D44)</f>
        <v/>
      </c>
      <c r="E44" s="22">
        <f>IF(AND('CASH FLOW'!E44=0,BUDGET!E44=0),"",'CASH FLOW'!E44-BUDGET!E44)</f>
        <v/>
      </c>
      <c r="F44" s="22">
        <f>IF(AND('CASH FLOW'!F44=0,BUDGET!F44=0),"",'CASH FLOW'!F44-BUDGET!F44)</f>
        <v/>
      </c>
      <c r="G44" s="22">
        <f>IF(AND('CASH FLOW'!G44=0,BUDGET!G44=0),"",'CASH FLOW'!G44-BUDGET!G44)</f>
        <v/>
      </c>
      <c r="H44" s="22">
        <f>IF(AND('CASH FLOW'!H44=0,BUDGET!H44=0),"",'CASH FLOW'!H44-BUDGET!H44)</f>
        <v/>
      </c>
      <c r="I44" s="22">
        <f>IF(AND('CASH FLOW'!I44=0,BUDGET!I44=0),"",'CASH FLOW'!I44-BUDGET!I44)</f>
        <v/>
      </c>
      <c r="J44" s="22">
        <f>IF(AND('CASH FLOW'!J44=0,BUDGET!J44=0),"",'CASH FLOW'!J44-BUDGET!J44)</f>
        <v/>
      </c>
      <c r="K44" s="22">
        <f>IF(AND('CASH FLOW'!K44=0,BUDGET!K44=0),"",'CASH FLOW'!K44-BUDGET!K44)</f>
        <v/>
      </c>
      <c r="L44" s="22">
        <f>IF(AND('CASH FLOW'!L44=0,BUDGET!L44=0),"",'CASH FLOW'!L44-BUDGET!L44)</f>
        <v/>
      </c>
      <c r="M44" s="22">
        <f>IF(AND('CASH FLOW'!M44=0,BUDGET!M44=0),"",'CASH FLOW'!M44-BUDGET!M44)</f>
        <v/>
      </c>
      <c r="N44" s="22">
        <f>IF(AND('CASH FLOW'!N44=0,BUDGET!N44=0),"",'CASH FLOW'!N44-BUDGET!N44)</f>
        <v/>
      </c>
      <c r="O44" s="22">
        <f>IF(AND('CASH FLOW'!O44=0,BUDGET!O44=0),"",'CASH FLOW'!O44-BUDGET!O44)</f>
        <v/>
      </c>
      <c r="Q44" s="23">
        <f>IF(BUDGET!O44=0,"",('CASH FLOW'!O44-BUDGET!O44)/ABS(BUDGET!O44))</f>
        <v/>
      </c>
    </row>
    <row r="45">
      <c r="A45" s="13">
        <f>'CASH FLOW'!A45</f>
        <v/>
      </c>
      <c r="B45" s="13">
        <f>'CASH FLOW'!B45</f>
        <v/>
      </c>
      <c r="C45" s="22">
        <f>IF(AND('CASH FLOW'!C45=0,BUDGET!C45=0),"",'CASH FLOW'!C45-BUDGET!C45)</f>
        <v/>
      </c>
      <c r="D45" s="22">
        <f>IF(AND('CASH FLOW'!D45=0,BUDGET!D45=0),"",'CASH FLOW'!D45-BUDGET!D45)</f>
        <v/>
      </c>
      <c r="E45" s="22">
        <f>IF(AND('CASH FLOW'!E45=0,BUDGET!E45=0),"",'CASH FLOW'!E45-BUDGET!E45)</f>
        <v/>
      </c>
      <c r="F45" s="22">
        <f>IF(AND('CASH FLOW'!F45=0,BUDGET!F45=0),"",'CASH FLOW'!F45-BUDGET!F45)</f>
        <v/>
      </c>
      <c r="G45" s="22">
        <f>IF(AND('CASH FLOW'!G45=0,BUDGET!G45=0),"",'CASH FLOW'!G45-BUDGET!G45)</f>
        <v/>
      </c>
      <c r="H45" s="22">
        <f>IF(AND('CASH FLOW'!H45=0,BUDGET!H45=0),"",'CASH FLOW'!H45-BUDGET!H45)</f>
        <v/>
      </c>
      <c r="I45" s="22">
        <f>IF(AND('CASH FLOW'!I45=0,BUDGET!I45=0),"",'CASH FLOW'!I45-BUDGET!I45)</f>
        <v/>
      </c>
      <c r="J45" s="22">
        <f>IF(AND('CASH FLOW'!J45=0,BUDGET!J45=0),"",'CASH FLOW'!J45-BUDGET!J45)</f>
        <v/>
      </c>
      <c r="K45" s="22">
        <f>IF(AND('CASH FLOW'!K45=0,BUDGET!K45=0),"",'CASH FLOW'!K45-BUDGET!K45)</f>
        <v/>
      </c>
      <c r="L45" s="22">
        <f>IF(AND('CASH FLOW'!L45=0,BUDGET!L45=0),"",'CASH FLOW'!L45-BUDGET!L45)</f>
        <v/>
      </c>
      <c r="M45" s="22">
        <f>IF(AND('CASH FLOW'!M45=0,BUDGET!M45=0),"",'CASH FLOW'!M45-BUDGET!M45)</f>
        <v/>
      </c>
      <c r="N45" s="22">
        <f>IF(AND('CASH FLOW'!N45=0,BUDGET!N45=0),"",'CASH FLOW'!N45-BUDGET!N45)</f>
        <v/>
      </c>
      <c r="O45" s="22">
        <f>IF(AND('CASH FLOW'!O45=0,BUDGET!O45=0),"",'CASH FLOW'!O45-BUDGET!O45)</f>
        <v/>
      </c>
      <c r="Q45" s="23">
        <f>IF(BUDGET!O45=0,"",('CASH FLOW'!O45-BUDGET!O45)/ABS(BUDGET!O45))</f>
        <v/>
      </c>
    </row>
    <row r="46">
      <c r="A46" s="13">
        <f>'CASH FLOW'!A46</f>
        <v/>
      </c>
      <c r="B46" s="13">
        <f>'CASH FLOW'!B46</f>
        <v/>
      </c>
      <c r="C46" s="22">
        <f>IF(AND('CASH FLOW'!C46=0,BUDGET!C46=0),"",'CASH FLOW'!C46-BUDGET!C46)</f>
        <v/>
      </c>
      <c r="D46" s="22">
        <f>IF(AND('CASH FLOW'!D46=0,BUDGET!D46=0),"",'CASH FLOW'!D46-BUDGET!D46)</f>
        <v/>
      </c>
      <c r="E46" s="22">
        <f>IF(AND('CASH FLOW'!E46=0,BUDGET!E46=0),"",'CASH FLOW'!E46-BUDGET!E46)</f>
        <v/>
      </c>
      <c r="F46" s="22">
        <f>IF(AND('CASH FLOW'!F46=0,BUDGET!F46=0),"",'CASH FLOW'!F46-BUDGET!F46)</f>
        <v/>
      </c>
      <c r="G46" s="22">
        <f>IF(AND('CASH FLOW'!G46=0,BUDGET!G46=0),"",'CASH FLOW'!G46-BUDGET!G46)</f>
        <v/>
      </c>
      <c r="H46" s="22">
        <f>IF(AND('CASH FLOW'!H46=0,BUDGET!H46=0),"",'CASH FLOW'!H46-BUDGET!H46)</f>
        <v/>
      </c>
      <c r="I46" s="22">
        <f>IF(AND('CASH FLOW'!I46=0,BUDGET!I46=0),"",'CASH FLOW'!I46-BUDGET!I46)</f>
        <v/>
      </c>
      <c r="J46" s="22">
        <f>IF(AND('CASH FLOW'!J46=0,BUDGET!J46=0),"",'CASH FLOW'!J46-BUDGET!J46)</f>
        <v/>
      </c>
      <c r="K46" s="22">
        <f>IF(AND('CASH FLOW'!K46=0,BUDGET!K46=0),"",'CASH FLOW'!K46-BUDGET!K46)</f>
        <v/>
      </c>
      <c r="L46" s="22">
        <f>IF(AND('CASH FLOW'!L46=0,BUDGET!L46=0),"",'CASH FLOW'!L46-BUDGET!L46)</f>
        <v/>
      </c>
      <c r="M46" s="22">
        <f>IF(AND('CASH FLOW'!M46=0,BUDGET!M46=0),"",'CASH FLOW'!M46-BUDGET!M46)</f>
        <v/>
      </c>
      <c r="N46" s="22">
        <f>IF(AND('CASH FLOW'!N46=0,BUDGET!N46=0),"",'CASH FLOW'!N46-BUDGET!N46)</f>
        <v/>
      </c>
      <c r="O46" s="22">
        <f>IF(AND('CASH FLOW'!O46=0,BUDGET!O46=0),"",'CASH FLOW'!O46-BUDGET!O46)</f>
        <v/>
      </c>
      <c r="Q46" s="23">
        <f>IF(BUDGET!O46=0,"",('CASH FLOW'!O46-BUDGET!O46)/ABS(BUDGET!O46))</f>
        <v/>
      </c>
    </row>
    <row r="47">
      <c r="A47" s="13">
        <f>'CASH FLOW'!A47</f>
        <v/>
      </c>
      <c r="B47" s="13">
        <f>'CASH FLOW'!B47</f>
        <v/>
      </c>
      <c r="C47" s="22">
        <f>IF(AND('CASH FLOW'!C47=0,BUDGET!C47=0),"",'CASH FLOW'!C47-BUDGET!C47)</f>
        <v/>
      </c>
      <c r="D47" s="22">
        <f>IF(AND('CASH FLOW'!D47=0,BUDGET!D47=0),"",'CASH FLOW'!D47-BUDGET!D47)</f>
        <v/>
      </c>
      <c r="E47" s="22">
        <f>IF(AND('CASH FLOW'!E47=0,BUDGET!E47=0),"",'CASH FLOW'!E47-BUDGET!E47)</f>
        <v/>
      </c>
      <c r="F47" s="22">
        <f>IF(AND('CASH FLOW'!F47=0,BUDGET!F47=0),"",'CASH FLOW'!F47-BUDGET!F47)</f>
        <v/>
      </c>
      <c r="G47" s="22">
        <f>IF(AND('CASH FLOW'!G47=0,BUDGET!G47=0),"",'CASH FLOW'!G47-BUDGET!G47)</f>
        <v/>
      </c>
      <c r="H47" s="22">
        <f>IF(AND('CASH FLOW'!H47=0,BUDGET!H47=0),"",'CASH FLOW'!H47-BUDGET!H47)</f>
        <v/>
      </c>
      <c r="I47" s="22">
        <f>IF(AND('CASH FLOW'!I47=0,BUDGET!I47=0),"",'CASH FLOW'!I47-BUDGET!I47)</f>
        <v/>
      </c>
      <c r="J47" s="22">
        <f>IF(AND('CASH FLOW'!J47=0,BUDGET!J47=0),"",'CASH FLOW'!J47-BUDGET!J47)</f>
        <v/>
      </c>
      <c r="K47" s="22">
        <f>IF(AND('CASH FLOW'!K47=0,BUDGET!K47=0),"",'CASH FLOW'!K47-BUDGET!K47)</f>
        <v/>
      </c>
      <c r="L47" s="22">
        <f>IF(AND('CASH FLOW'!L47=0,BUDGET!L47=0),"",'CASH FLOW'!L47-BUDGET!L47)</f>
        <v/>
      </c>
      <c r="M47" s="22">
        <f>IF(AND('CASH FLOW'!M47=0,BUDGET!M47=0),"",'CASH FLOW'!M47-BUDGET!M47)</f>
        <v/>
      </c>
      <c r="N47" s="22">
        <f>IF(AND('CASH FLOW'!N47=0,BUDGET!N47=0),"",'CASH FLOW'!N47-BUDGET!N47)</f>
        <v/>
      </c>
      <c r="O47" s="22">
        <f>IF(AND('CASH FLOW'!O47=0,BUDGET!O47=0),"",'CASH FLOW'!O47-BUDGET!O47)</f>
        <v/>
      </c>
      <c r="Q47" s="23">
        <f>IF(BUDGET!O47=0,"",('CASH FLOW'!O47-BUDGET!O47)/ABS(BUDGET!O47))</f>
        <v/>
      </c>
    </row>
    <row r="48">
      <c r="A48" s="13">
        <f>'CASH FLOW'!A48</f>
        <v/>
      </c>
      <c r="B48" s="13">
        <f>'CASH FLOW'!B48</f>
        <v/>
      </c>
      <c r="C48" s="22">
        <f>IF(AND('CASH FLOW'!C48=0,BUDGET!C48=0),"",'CASH FLOW'!C48-BUDGET!C48)</f>
        <v/>
      </c>
      <c r="D48" s="22">
        <f>IF(AND('CASH FLOW'!D48=0,BUDGET!D48=0),"",'CASH FLOW'!D48-BUDGET!D48)</f>
        <v/>
      </c>
      <c r="E48" s="22">
        <f>IF(AND('CASH FLOW'!E48=0,BUDGET!E48=0),"",'CASH FLOW'!E48-BUDGET!E48)</f>
        <v/>
      </c>
      <c r="F48" s="22">
        <f>IF(AND('CASH FLOW'!F48=0,BUDGET!F48=0),"",'CASH FLOW'!F48-BUDGET!F48)</f>
        <v/>
      </c>
      <c r="G48" s="22">
        <f>IF(AND('CASH FLOW'!G48=0,BUDGET!G48=0),"",'CASH FLOW'!G48-BUDGET!G48)</f>
        <v/>
      </c>
      <c r="H48" s="22">
        <f>IF(AND('CASH FLOW'!H48=0,BUDGET!H48=0),"",'CASH FLOW'!H48-BUDGET!H48)</f>
        <v/>
      </c>
      <c r="I48" s="22">
        <f>IF(AND('CASH FLOW'!I48=0,BUDGET!I48=0),"",'CASH FLOW'!I48-BUDGET!I48)</f>
        <v/>
      </c>
      <c r="J48" s="22">
        <f>IF(AND('CASH FLOW'!J48=0,BUDGET!J48=0),"",'CASH FLOW'!J48-BUDGET!J48)</f>
        <v/>
      </c>
      <c r="K48" s="22">
        <f>IF(AND('CASH FLOW'!K48=0,BUDGET!K48=0),"",'CASH FLOW'!K48-BUDGET!K48)</f>
        <v/>
      </c>
      <c r="L48" s="22">
        <f>IF(AND('CASH FLOW'!L48=0,BUDGET!L48=0),"",'CASH FLOW'!L48-BUDGET!L48)</f>
        <v/>
      </c>
      <c r="M48" s="22">
        <f>IF(AND('CASH FLOW'!M48=0,BUDGET!M48=0),"",'CASH FLOW'!M48-BUDGET!M48)</f>
        <v/>
      </c>
      <c r="N48" s="22">
        <f>IF(AND('CASH FLOW'!N48=0,BUDGET!N48=0),"",'CASH FLOW'!N48-BUDGET!N48)</f>
        <v/>
      </c>
      <c r="O48" s="22">
        <f>IF(AND('CASH FLOW'!O48=0,BUDGET!O48=0),"",'CASH FLOW'!O48-BUDGET!O48)</f>
        <v/>
      </c>
      <c r="Q48" s="23">
        <f>IF(BUDGET!O48=0,"",('CASH FLOW'!O48-BUDGET!O48)/ABS(BUDGET!O48))</f>
        <v/>
      </c>
    </row>
    <row r="49">
      <c r="A49" s="13">
        <f>'CASH FLOW'!A49</f>
        <v/>
      </c>
      <c r="B49" s="13">
        <f>'CASH FLOW'!B49</f>
        <v/>
      </c>
      <c r="C49" s="22">
        <f>IF(AND('CASH FLOW'!C49=0,BUDGET!C49=0),"",'CASH FLOW'!C49-BUDGET!C49)</f>
        <v/>
      </c>
      <c r="D49" s="22">
        <f>IF(AND('CASH FLOW'!D49=0,BUDGET!D49=0),"",'CASH FLOW'!D49-BUDGET!D49)</f>
        <v/>
      </c>
      <c r="E49" s="22">
        <f>IF(AND('CASH FLOW'!E49=0,BUDGET!E49=0),"",'CASH FLOW'!E49-BUDGET!E49)</f>
        <v/>
      </c>
      <c r="F49" s="22">
        <f>IF(AND('CASH FLOW'!F49=0,BUDGET!F49=0),"",'CASH FLOW'!F49-BUDGET!F49)</f>
        <v/>
      </c>
      <c r="G49" s="22">
        <f>IF(AND('CASH FLOW'!G49=0,BUDGET!G49=0),"",'CASH FLOW'!G49-BUDGET!G49)</f>
        <v/>
      </c>
      <c r="H49" s="22">
        <f>IF(AND('CASH FLOW'!H49=0,BUDGET!H49=0),"",'CASH FLOW'!H49-BUDGET!H49)</f>
        <v/>
      </c>
      <c r="I49" s="22">
        <f>IF(AND('CASH FLOW'!I49=0,BUDGET!I49=0),"",'CASH FLOW'!I49-BUDGET!I49)</f>
        <v/>
      </c>
      <c r="J49" s="22">
        <f>IF(AND('CASH FLOW'!J49=0,BUDGET!J49=0),"",'CASH FLOW'!J49-BUDGET!J49)</f>
        <v/>
      </c>
      <c r="K49" s="22">
        <f>IF(AND('CASH FLOW'!K49=0,BUDGET!K49=0),"",'CASH FLOW'!K49-BUDGET!K49)</f>
        <v/>
      </c>
      <c r="L49" s="22">
        <f>IF(AND('CASH FLOW'!L49=0,BUDGET!L49=0),"",'CASH FLOW'!L49-BUDGET!L49)</f>
        <v/>
      </c>
      <c r="M49" s="22">
        <f>IF(AND('CASH FLOW'!M49=0,BUDGET!M49=0),"",'CASH FLOW'!M49-BUDGET!M49)</f>
        <v/>
      </c>
      <c r="N49" s="22">
        <f>IF(AND('CASH FLOW'!N49=0,BUDGET!N49=0),"",'CASH FLOW'!N49-BUDGET!N49)</f>
        <v/>
      </c>
      <c r="O49" s="22">
        <f>IF(AND('CASH FLOW'!O49=0,BUDGET!O49=0),"",'CASH FLOW'!O49-BUDGET!O49)</f>
        <v/>
      </c>
      <c r="Q49" s="23">
        <f>IF(BUDGET!O49=0,"",('CASH FLOW'!O49-BUDGET!O49)/ABS(BUDGET!O49))</f>
        <v/>
      </c>
    </row>
    <row r="50">
      <c r="A50" s="13">
        <f>'CASH FLOW'!A50</f>
        <v/>
      </c>
      <c r="B50" s="13">
        <f>'CASH FLOW'!B50</f>
        <v/>
      </c>
      <c r="C50" s="22">
        <f>IF(AND('CASH FLOW'!C50=0,BUDGET!C50=0),"",'CASH FLOW'!C50-BUDGET!C50)</f>
        <v/>
      </c>
      <c r="D50" s="22">
        <f>IF(AND('CASH FLOW'!D50=0,BUDGET!D50=0),"",'CASH FLOW'!D50-BUDGET!D50)</f>
        <v/>
      </c>
      <c r="E50" s="22">
        <f>IF(AND('CASH FLOW'!E50=0,BUDGET!E50=0),"",'CASH FLOW'!E50-BUDGET!E50)</f>
        <v/>
      </c>
      <c r="F50" s="22">
        <f>IF(AND('CASH FLOW'!F50=0,BUDGET!F50=0),"",'CASH FLOW'!F50-BUDGET!F50)</f>
        <v/>
      </c>
      <c r="G50" s="22">
        <f>IF(AND('CASH FLOW'!G50=0,BUDGET!G50=0),"",'CASH FLOW'!G50-BUDGET!G50)</f>
        <v/>
      </c>
      <c r="H50" s="22">
        <f>IF(AND('CASH FLOW'!H50=0,BUDGET!H50=0),"",'CASH FLOW'!H50-BUDGET!H50)</f>
        <v/>
      </c>
      <c r="I50" s="22">
        <f>IF(AND('CASH FLOW'!I50=0,BUDGET!I50=0),"",'CASH FLOW'!I50-BUDGET!I50)</f>
        <v/>
      </c>
      <c r="J50" s="22">
        <f>IF(AND('CASH FLOW'!J50=0,BUDGET!J50=0),"",'CASH FLOW'!J50-BUDGET!J50)</f>
        <v/>
      </c>
      <c r="K50" s="22">
        <f>IF(AND('CASH FLOW'!K50=0,BUDGET!K50=0),"",'CASH FLOW'!K50-BUDGET!K50)</f>
        <v/>
      </c>
      <c r="L50" s="22">
        <f>IF(AND('CASH FLOW'!L50=0,BUDGET!L50=0),"",'CASH FLOW'!L50-BUDGET!L50)</f>
        <v/>
      </c>
      <c r="M50" s="22">
        <f>IF(AND('CASH FLOW'!M50=0,BUDGET!M50=0),"",'CASH FLOW'!M50-BUDGET!M50)</f>
        <v/>
      </c>
      <c r="N50" s="22">
        <f>IF(AND('CASH FLOW'!N50=0,BUDGET!N50=0),"",'CASH FLOW'!N50-BUDGET!N50)</f>
        <v/>
      </c>
      <c r="O50" s="22">
        <f>IF(AND('CASH FLOW'!O50=0,BUDGET!O50=0),"",'CASH FLOW'!O50-BUDGET!O50)</f>
        <v/>
      </c>
      <c r="Q50" s="23">
        <f>IF(BUDGET!O50=0,"",('CASH FLOW'!O50-BUDGET!O50)/ABS(BUDGET!O50))</f>
        <v/>
      </c>
    </row>
    <row r="51">
      <c r="A51" s="13">
        <f>'CASH FLOW'!A51</f>
        <v/>
      </c>
      <c r="B51" s="13">
        <f>'CASH FLOW'!B51</f>
        <v/>
      </c>
      <c r="C51" s="22">
        <f>IF(AND('CASH FLOW'!C51=0,BUDGET!C51=0),"",'CASH FLOW'!C51-BUDGET!C51)</f>
        <v/>
      </c>
      <c r="D51" s="22">
        <f>IF(AND('CASH FLOW'!D51=0,BUDGET!D51=0),"",'CASH FLOW'!D51-BUDGET!D51)</f>
        <v/>
      </c>
      <c r="E51" s="22">
        <f>IF(AND('CASH FLOW'!E51=0,BUDGET!E51=0),"",'CASH FLOW'!E51-BUDGET!E51)</f>
        <v/>
      </c>
      <c r="F51" s="22">
        <f>IF(AND('CASH FLOW'!F51=0,BUDGET!F51=0),"",'CASH FLOW'!F51-BUDGET!F51)</f>
        <v/>
      </c>
      <c r="G51" s="22">
        <f>IF(AND('CASH FLOW'!G51=0,BUDGET!G51=0),"",'CASH FLOW'!G51-BUDGET!G51)</f>
        <v/>
      </c>
      <c r="H51" s="22">
        <f>IF(AND('CASH FLOW'!H51=0,BUDGET!H51=0),"",'CASH FLOW'!H51-BUDGET!H51)</f>
        <v/>
      </c>
      <c r="I51" s="22">
        <f>IF(AND('CASH FLOW'!I51=0,BUDGET!I51=0),"",'CASH FLOW'!I51-BUDGET!I51)</f>
        <v/>
      </c>
      <c r="J51" s="22">
        <f>IF(AND('CASH FLOW'!J51=0,BUDGET!J51=0),"",'CASH FLOW'!J51-BUDGET!J51)</f>
        <v/>
      </c>
      <c r="K51" s="22">
        <f>IF(AND('CASH FLOW'!K51=0,BUDGET!K51=0),"",'CASH FLOW'!K51-BUDGET!K51)</f>
        <v/>
      </c>
      <c r="L51" s="22">
        <f>IF(AND('CASH FLOW'!L51=0,BUDGET!L51=0),"",'CASH FLOW'!L51-BUDGET!L51)</f>
        <v/>
      </c>
      <c r="M51" s="22">
        <f>IF(AND('CASH FLOW'!M51=0,BUDGET!M51=0),"",'CASH FLOW'!M51-BUDGET!M51)</f>
        <v/>
      </c>
      <c r="N51" s="22">
        <f>IF(AND('CASH FLOW'!N51=0,BUDGET!N51=0),"",'CASH FLOW'!N51-BUDGET!N51)</f>
        <v/>
      </c>
      <c r="O51" s="22">
        <f>IF(AND('CASH FLOW'!O51=0,BUDGET!O51=0),"",'CASH FLOW'!O51-BUDGET!O51)</f>
        <v/>
      </c>
      <c r="Q51" s="23">
        <f>IF(BUDGET!O51=0,"",('CASH FLOW'!O51-BUDGET!O51)/ABS(BUDGET!O51))</f>
        <v/>
      </c>
    </row>
    <row r="52">
      <c r="A52" s="13">
        <f>'CASH FLOW'!A52</f>
        <v/>
      </c>
      <c r="B52" s="13">
        <f>'CASH FLOW'!B52</f>
        <v/>
      </c>
      <c r="C52" s="22">
        <f>IF(AND('CASH FLOW'!C52=0,BUDGET!C52=0),"",'CASH FLOW'!C52-BUDGET!C52)</f>
        <v/>
      </c>
      <c r="D52" s="22">
        <f>IF(AND('CASH FLOW'!D52=0,BUDGET!D52=0),"",'CASH FLOW'!D52-BUDGET!D52)</f>
        <v/>
      </c>
      <c r="E52" s="22">
        <f>IF(AND('CASH FLOW'!E52=0,BUDGET!E52=0),"",'CASH FLOW'!E52-BUDGET!E52)</f>
        <v/>
      </c>
      <c r="F52" s="22">
        <f>IF(AND('CASH FLOW'!F52=0,BUDGET!F52=0),"",'CASH FLOW'!F52-BUDGET!F52)</f>
        <v/>
      </c>
      <c r="G52" s="22">
        <f>IF(AND('CASH FLOW'!G52=0,BUDGET!G52=0),"",'CASH FLOW'!G52-BUDGET!G52)</f>
        <v/>
      </c>
      <c r="H52" s="22">
        <f>IF(AND('CASH FLOW'!H52=0,BUDGET!H52=0),"",'CASH FLOW'!H52-BUDGET!H52)</f>
        <v/>
      </c>
      <c r="I52" s="22">
        <f>IF(AND('CASH FLOW'!I52=0,BUDGET!I52=0),"",'CASH FLOW'!I52-BUDGET!I52)</f>
        <v/>
      </c>
      <c r="J52" s="22">
        <f>IF(AND('CASH FLOW'!J52=0,BUDGET!J52=0),"",'CASH FLOW'!J52-BUDGET!J52)</f>
        <v/>
      </c>
      <c r="K52" s="22">
        <f>IF(AND('CASH FLOW'!K52=0,BUDGET!K52=0),"",'CASH FLOW'!K52-BUDGET!K52)</f>
        <v/>
      </c>
      <c r="L52" s="22">
        <f>IF(AND('CASH FLOW'!L52=0,BUDGET!L52=0),"",'CASH FLOW'!L52-BUDGET!L52)</f>
        <v/>
      </c>
      <c r="M52" s="22">
        <f>IF(AND('CASH FLOW'!M52=0,BUDGET!M52=0),"",'CASH FLOW'!M52-BUDGET!M52)</f>
        <v/>
      </c>
      <c r="N52" s="22">
        <f>IF(AND('CASH FLOW'!N52=0,BUDGET!N52=0),"",'CASH FLOW'!N52-BUDGET!N52)</f>
        <v/>
      </c>
      <c r="O52" s="22">
        <f>IF(AND('CASH FLOW'!O52=0,BUDGET!O52=0),"",'CASH FLOW'!O52-BUDGET!O52)</f>
        <v/>
      </c>
      <c r="Q52" s="23">
        <f>IF(BUDGET!O52=0,"",('CASH FLOW'!O52-BUDGET!O52)/ABS(BUDGET!O52))</f>
        <v/>
      </c>
    </row>
    <row r="53">
      <c r="A53" s="13">
        <f>'CASH FLOW'!A53</f>
        <v/>
      </c>
      <c r="B53" s="13">
        <f>'CASH FLOW'!B53</f>
        <v/>
      </c>
      <c r="C53" s="22">
        <f>IF(AND('CASH FLOW'!C53=0,BUDGET!C53=0),"",'CASH FLOW'!C53-BUDGET!C53)</f>
        <v/>
      </c>
      <c r="D53" s="22">
        <f>IF(AND('CASH FLOW'!D53=0,BUDGET!D53=0),"",'CASH FLOW'!D53-BUDGET!D53)</f>
        <v/>
      </c>
      <c r="E53" s="22">
        <f>IF(AND('CASH FLOW'!E53=0,BUDGET!E53=0),"",'CASH FLOW'!E53-BUDGET!E53)</f>
        <v/>
      </c>
      <c r="F53" s="22">
        <f>IF(AND('CASH FLOW'!F53=0,BUDGET!F53=0),"",'CASH FLOW'!F53-BUDGET!F53)</f>
        <v/>
      </c>
      <c r="G53" s="22">
        <f>IF(AND('CASH FLOW'!G53=0,BUDGET!G53=0),"",'CASH FLOW'!G53-BUDGET!G53)</f>
        <v/>
      </c>
      <c r="H53" s="22">
        <f>IF(AND('CASH FLOW'!H53=0,BUDGET!H53=0),"",'CASH FLOW'!H53-BUDGET!H53)</f>
        <v/>
      </c>
      <c r="I53" s="22">
        <f>IF(AND('CASH FLOW'!I53=0,BUDGET!I53=0),"",'CASH FLOW'!I53-BUDGET!I53)</f>
        <v/>
      </c>
      <c r="J53" s="22">
        <f>IF(AND('CASH FLOW'!J53=0,BUDGET!J53=0),"",'CASH FLOW'!J53-BUDGET!J53)</f>
        <v/>
      </c>
      <c r="K53" s="22">
        <f>IF(AND('CASH FLOW'!K53=0,BUDGET!K53=0),"",'CASH FLOW'!K53-BUDGET!K53)</f>
        <v/>
      </c>
      <c r="L53" s="22">
        <f>IF(AND('CASH FLOW'!L53=0,BUDGET!L53=0),"",'CASH FLOW'!L53-BUDGET!L53)</f>
        <v/>
      </c>
      <c r="M53" s="22">
        <f>IF(AND('CASH FLOW'!M53=0,BUDGET!M53=0),"",'CASH FLOW'!M53-BUDGET!M53)</f>
        <v/>
      </c>
      <c r="N53" s="22">
        <f>IF(AND('CASH FLOW'!N53=0,BUDGET!N53=0),"",'CASH FLOW'!N53-BUDGET!N53)</f>
        <v/>
      </c>
      <c r="O53" s="22">
        <f>IF(AND('CASH FLOW'!O53=0,BUDGET!O53=0),"",'CASH FLOW'!O53-BUDGET!O53)</f>
        <v/>
      </c>
      <c r="Q53" s="23">
        <f>IF(BUDGET!O53=0,"",('CASH FLOW'!O53-BUDGET!O53)/ABS(BUDGET!O53))</f>
        <v/>
      </c>
    </row>
    <row r="54">
      <c r="A54" s="13">
        <f>'CASH FLOW'!A54</f>
        <v/>
      </c>
      <c r="B54" s="13">
        <f>'CASH FLOW'!B54</f>
        <v/>
      </c>
      <c r="C54" s="22">
        <f>IF(AND('CASH FLOW'!C54=0,BUDGET!C54=0),"",'CASH FLOW'!C54-BUDGET!C54)</f>
        <v/>
      </c>
      <c r="D54" s="22">
        <f>IF(AND('CASH FLOW'!D54=0,BUDGET!D54=0),"",'CASH FLOW'!D54-BUDGET!D54)</f>
        <v/>
      </c>
      <c r="E54" s="22">
        <f>IF(AND('CASH FLOW'!E54=0,BUDGET!E54=0),"",'CASH FLOW'!E54-BUDGET!E54)</f>
        <v/>
      </c>
      <c r="F54" s="22">
        <f>IF(AND('CASH FLOW'!F54=0,BUDGET!F54=0),"",'CASH FLOW'!F54-BUDGET!F54)</f>
        <v/>
      </c>
      <c r="G54" s="22">
        <f>IF(AND('CASH FLOW'!G54=0,BUDGET!G54=0),"",'CASH FLOW'!G54-BUDGET!G54)</f>
        <v/>
      </c>
      <c r="H54" s="22">
        <f>IF(AND('CASH FLOW'!H54=0,BUDGET!H54=0),"",'CASH FLOW'!H54-BUDGET!H54)</f>
        <v/>
      </c>
      <c r="I54" s="22">
        <f>IF(AND('CASH FLOW'!I54=0,BUDGET!I54=0),"",'CASH FLOW'!I54-BUDGET!I54)</f>
        <v/>
      </c>
      <c r="J54" s="22">
        <f>IF(AND('CASH FLOW'!J54=0,BUDGET!J54=0),"",'CASH FLOW'!J54-BUDGET!J54)</f>
        <v/>
      </c>
      <c r="K54" s="22">
        <f>IF(AND('CASH FLOW'!K54=0,BUDGET!K54=0),"",'CASH FLOW'!K54-BUDGET!K54)</f>
        <v/>
      </c>
      <c r="L54" s="22">
        <f>IF(AND('CASH FLOW'!L54=0,BUDGET!L54=0),"",'CASH FLOW'!L54-BUDGET!L54)</f>
        <v/>
      </c>
      <c r="M54" s="22">
        <f>IF(AND('CASH FLOW'!M54=0,BUDGET!M54=0),"",'CASH FLOW'!M54-BUDGET!M54)</f>
        <v/>
      </c>
      <c r="N54" s="22">
        <f>IF(AND('CASH FLOW'!N54=0,BUDGET!N54=0),"",'CASH FLOW'!N54-BUDGET!N54)</f>
        <v/>
      </c>
      <c r="O54" s="22">
        <f>IF(AND('CASH FLOW'!O54=0,BUDGET!O54=0),"",'CASH FLOW'!O54-BUDGET!O54)</f>
        <v/>
      </c>
      <c r="Q54" s="23">
        <f>IF(BUDGET!O54=0,"",('CASH FLOW'!O54-BUDGET!O54)/ABS(BUDGET!O54))</f>
        <v/>
      </c>
    </row>
    <row r="55">
      <c r="A55" s="13">
        <f>'CASH FLOW'!A55</f>
        <v/>
      </c>
      <c r="B55" s="13">
        <f>'CASH FLOW'!B55</f>
        <v/>
      </c>
      <c r="C55" s="22">
        <f>IF(AND('CASH FLOW'!C55=0,BUDGET!C55=0),"",'CASH FLOW'!C55-BUDGET!C55)</f>
        <v/>
      </c>
      <c r="D55" s="22">
        <f>IF(AND('CASH FLOW'!D55=0,BUDGET!D55=0),"",'CASH FLOW'!D55-BUDGET!D55)</f>
        <v/>
      </c>
      <c r="E55" s="22">
        <f>IF(AND('CASH FLOW'!E55=0,BUDGET!E55=0),"",'CASH FLOW'!E55-BUDGET!E55)</f>
        <v/>
      </c>
      <c r="F55" s="22">
        <f>IF(AND('CASH FLOW'!F55=0,BUDGET!F55=0),"",'CASH FLOW'!F55-BUDGET!F55)</f>
        <v/>
      </c>
      <c r="G55" s="22">
        <f>IF(AND('CASH FLOW'!G55=0,BUDGET!G55=0),"",'CASH FLOW'!G55-BUDGET!G55)</f>
        <v/>
      </c>
      <c r="H55" s="22">
        <f>IF(AND('CASH FLOW'!H55=0,BUDGET!H55=0),"",'CASH FLOW'!H55-BUDGET!H55)</f>
        <v/>
      </c>
      <c r="I55" s="22">
        <f>IF(AND('CASH FLOW'!I55=0,BUDGET!I55=0),"",'CASH FLOW'!I55-BUDGET!I55)</f>
        <v/>
      </c>
      <c r="J55" s="22">
        <f>IF(AND('CASH FLOW'!J55=0,BUDGET!J55=0),"",'CASH FLOW'!J55-BUDGET!J55)</f>
        <v/>
      </c>
      <c r="K55" s="22">
        <f>IF(AND('CASH FLOW'!K55=0,BUDGET!K55=0),"",'CASH FLOW'!K55-BUDGET!K55)</f>
        <v/>
      </c>
      <c r="L55" s="22">
        <f>IF(AND('CASH FLOW'!L55=0,BUDGET!L55=0),"",'CASH FLOW'!L55-BUDGET!L55)</f>
        <v/>
      </c>
      <c r="M55" s="22">
        <f>IF(AND('CASH FLOW'!M55=0,BUDGET!M55=0),"",'CASH FLOW'!M55-BUDGET!M55)</f>
        <v/>
      </c>
      <c r="N55" s="22">
        <f>IF(AND('CASH FLOW'!N55=0,BUDGET!N55=0),"",'CASH FLOW'!N55-BUDGET!N55)</f>
        <v/>
      </c>
      <c r="O55" s="22">
        <f>IF(AND('CASH FLOW'!O55=0,BUDGET!O55=0),"",'CASH FLOW'!O55-BUDGET!O55)</f>
        <v/>
      </c>
      <c r="Q55" s="23">
        <f>IF(BUDGET!O55=0,"",('CASH FLOW'!O55-BUDGET!O55)/ABS(BUDGET!O55))</f>
        <v/>
      </c>
    </row>
    <row r="56">
      <c r="A56" s="13">
        <f>'CASH FLOW'!A56</f>
        <v/>
      </c>
      <c r="B56" s="13">
        <f>'CASH FLOW'!B56</f>
        <v/>
      </c>
      <c r="C56" s="22">
        <f>IF(AND('CASH FLOW'!C56=0,BUDGET!C56=0),"",'CASH FLOW'!C56-BUDGET!C56)</f>
        <v/>
      </c>
      <c r="D56" s="22">
        <f>IF(AND('CASH FLOW'!D56=0,BUDGET!D56=0),"",'CASH FLOW'!D56-BUDGET!D56)</f>
        <v/>
      </c>
      <c r="E56" s="22">
        <f>IF(AND('CASH FLOW'!E56=0,BUDGET!E56=0),"",'CASH FLOW'!E56-BUDGET!E56)</f>
        <v/>
      </c>
      <c r="F56" s="22">
        <f>IF(AND('CASH FLOW'!F56=0,BUDGET!F56=0),"",'CASH FLOW'!F56-BUDGET!F56)</f>
        <v/>
      </c>
      <c r="G56" s="22">
        <f>IF(AND('CASH FLOW'!G56=0,BUDGET!G56=0),"",'CASH FLOW'!G56-BUDGET!G56)</f>
        <v/>
      </c>
      <c r="H56" s="22">
        <f>IF(AND('CASH FLOW'!H56=0,BUDGET!H56=0),"",'CASH FLOW'!H56-BUDGET!H56)</f>
        <v/>
      </c>
      <c r="I56" s="22">
        <f>IF(AND('CASH FLOW'!I56=0,BUDGET!I56=0),"",'CASH FLOW'!I56-BUDGET!I56)</f>
        <v/>
      </c>
      <c r="J56" s="22">
        <f>IF(AND('CASH FLOW'!J56=0,BUDGET!J56=0),"",'CASH FLOW'!J56-BUDGET!J56)</f>
        <v/>
      </c>
      <c r="K56" s="22">
        <f>IF(AND('CASH FLOW'!K56=0,BUDGET!K56=0),"",'CASH FLOW'!K56-BUDGET!K56)</f>
        <v/>
      </c>
      <c r="L56" s="22">
        <f>IF(AND('CASH FLOW'!L56=0,BUDGET!L56=0),"",'CASH FLOW'!L56-BUDGET!L56)</f>
        <v/>
      </c>
      <c r="M56" s="22">
        <f>IF(AND('CASH FLOW'!M56=0,BUDGET!M56=0),"",'CASH FLOW'!M56-BUDGET!M56)</f>
        <v/>
      </c>
      <c r="N56" s="22">
        <f>IF(AND('CASH FLOW'!N56=0,BUDGET!N56=0),"",'CASH FLOW'!N56-BUDGET!N56)</f>
        <v/>
      </c>
      <c r="O56" s="22">
        <f>IF(AND('CASH FLOW'!O56=0,BUDGET!O56=0),"",'CASH FLOW'!O56-BUDGET!O56)</f>
        <v/>
      </c>
      <c r="Q56" s="23">
        <f>IF(BUDGET!O56=0,"",('CASH FLOW'!O56-BUDGET!O56)/ABS(BUDGET!O56))</f>
        <v/>
      </c>
    </row>
    <row r="57">
      <c r="A57" s="13">
        <f>'CASH FLOW'!A57</f>
        <v/>
      </c>
      <c r="B57" s="13">
        <f>'CASH FLOW'!B57</f>
        <v/>
      </c>
      <c r="C57" s="22">
        <f>IF(AND('CASH FLOW'!C57=0,BUDGET!C57=0),"",'CASH FLOW'!C57-BUDGET!C57)</f>
        <v/>
      </c>
      <c r="D57" s="22">
        <f>IF(AND('CASH FLOW'!D57=0,BUDGET!D57=0),"",'CASH FLOW'!D57-BUDGET!D57)</f>
        <v/>
      </c>
      <c r="E57" s="22">
        <f>IF(AND('CASH FLOW'!E57=0,BUDGET!E57=0),"",'CASH FLOW'!E57-BUDGET!E57)</f>
        <v/>
      </c>
      <c r="F57" s="22">
        <f>IF(AND('CASH FLOW'!F57=0,BUDGET!F57=0),"",'CASH FLOW'!F57-BUDGET!F57)</f>
        <v/>
      </c>
      <c r="G57" s="22">
        <f>IF(AND('CASH FLOW'!G57=0,BUDGET!G57=0),"",'CASH FLOW'!G57-BUDGET!G57)</f>
        <v/>
      </c>
      <c r="H57" s="22">
        <f>IF(AND('CASH FLOW'!H57=0,BUDGET!H57=0),"",'CASH FLOW'!H57-BUDGET!H57)</f>
        <v/>
      </c>
      <c r="I57" s="22">
        <f>IF(AND('CASH FLOW'!I57=0,BUDGET!I57=0),"",'CASH FLOW'!I57-BUDGET!I57)</f>
        <v/>
      </c>
      <c r="J57" s="22">
        <f>IF(AND('CASH FLOW'!J57=0,BUDGET!J57=0),"",'CASH FLOW'!J57-BUDGET!J57)</f>
        <v/>
      </c>
      <c r="K57" s="22">
        <f>IF(AND('CASH FLOW'!K57=0,BUDGET!K57=0),"",'CASH FLOW'!K57-BUDGET!K57)</f>
        <v/>
      </c>
      <c r="L57" s="22">
        <f>IF(AND('CASH FLOW'!L57=0,BUDGET!L57=0),"",'CASH FLOW'!L57-BUDGET!L57)</f>
        <v/>
      </c>
      <c r="M57" s="22">
        <f>IF(AND('CASH FLOW'!M57=0,BUDGET!M57=0),"",'CASH FLOW'!M57-BUDGET!M57)</f>
        <v/>
      </c>
      <c r="N57" s="22">
        <f>IF(AND('CASH FLOW'!N57=0,BUDGET!N57=0),"",'CASH FLOW'!N57-BUDGET!N57)</f>
        <v/>
      </c>
      <c r="O57" s="22">
        <f>IF(AND('CASH FLOW'!O57=0,BUDGET!O57=0),"",'CASH FLOW'!O57-BUDGET!O57)</f>
        <v/>
      </c>
      <c r="Q57" s="23">
        <f>IF(BUDGET!O57=0,"",('CASH FLOW'!O57-BUDGET!O57)/ABS(BUDGET!O57))</f>
        <v/>
      </c>
    </row>
    <row r="58">
      <c r="A58" s="13">
        <f>'CASH FLOW'!A58</f>
        <v/>
      </c>
      <c r="B58" s="13">
        <f>'CASH FLOW'!B58</f>
        <v/>
      </c>
      <c r="C58" s="22">
        <f>IF(AND('CASH FLOW'!C58=0,BUDGET!C58=0),"",'CASH FLOW'!C58-BUDGET!C58)</f>
        <v/>
      </c>
      <c r="D58" s="22">
        <f>IF(AND('CASH FLOW'!D58=0,BUDGET!D58=0),"",'CASH FLOW'!D58-BUDGET!D58)</f>
        <v/>
      </c>
      <c r="E58" s="22">
        <f>IF(AND('CASH FLOW'!E58=0,BUDGET!E58=0),"",'CASH FLOW'!E58-BUDGET!E58)</f>
        <v/>
      </c>
      <c r="F58" s="22">
        <f>IF(AND('CASH FLOW'!F58=0,BUDGET!F58=0),"",'CASH FLOW'!F58-BUDGET!F58)</f>
        <v/>
      </c>
      <c r="G58" s="22">
        <f>IF(AND('CASH FLOW'!G58=0,BUDGET!G58=0),"",'CASH FLOW'!G58-BUDGET!G58)</f>
        <v/>
      </c>
      <c r="H58" s="22">
        <f>IF(AND('CASH FLOW'!H58=0,BUDGET!H58=0),"",'CASH FLOW'!H58-BUDGET!H58)</f>
        <v/>
      </c>
      <c r="I58" s="22">
        <f>IF(AND('CASH FLOW'!I58=0,BUDGET!I58=0),"",'CASH FLOW'!I58-BUDGET!I58)</f>
        <v/>
      </c>
      <c r="J58" s="22">
        <f>IF(AND('CASH FLOW'!J58=0,BUDGET!J58=0),"",'CASH FLOW'!J58-BUDGET!J58)</f>
        <v/>
      </c>
      <c r="K58" s="22">
        <f>IF(AND('CASH FLOW'!K58=0,BUDGET!K58=0),"",'CASH FLOW'!K58-BUDGET!K58)</f>
        <v/>
      </c>
      <c r="L58" s="22">
        <f>IF(AND('CASH FLOW'!L58=0,BUDGET!L58=0),"",'CASH FLOW'!L58-BUDGET!L58)</f>
        <v/>
      </c>
      <c r="M58" s="22">
        <f>IF(AND('CASH FLOW'!M58=0,BUDGET!M58=0),"",'CASH FLOW'!M58-BUDGET!M58)</f>
        <v/>
      </c>
      <c r="N58" s="22">
        <f>IF(AND('CASH FLOW'!N58=0,BUDGET!N58=0),"",'CASH FLOW'!N58-BUDGET!N58)</f>
        <v/>
      </c>
      <c r="O58" s="22">
        <f>IF(AND('CASH FLOW'!O58=0,BUDGET!O58=0),"",'CASH FLOW'!O58-BUDGET!O58)</f>
        <v/>
      </c>
      <c r="Q58" s="23">
        <f>IF(BUDGET!O58=0,"",('CASH FLOW'!O58-BUDGET!O58)/ABS(BUDGET!O58))</f>
        <v/>
      </c>
    </row>
    <row r="59">
      <c r="A59" s="13">
        <f>'CASH FLOW'!A59</f>
        <v/>
      </c>
      <c r="B59" s="13">
        <f>'CASH FLOW'!B59</f>
        <v/>
      </c>
      <c r="C59" s="22">
        <f>IF(AND('CASH FLOW'!C59=0,BUDGET!C59=0),"",'CASH FLOW'!C59-BUDGET!C59)</f>
        <v/>
      </c>
      <c r="D59" s="22">
        <f>IF(AND('CASH FLOW'!D59=0,BUDGET!D59=0),"",'CASH FLOW'!D59-BUDGET!D59)</f>
        <v/>
      </c>
      <c r="E59" s="22">
        <f>IF(AND('CASH FLOW'!E59=0,BUDGET!E59=0),"",'CASH FLOW'!E59-BUDGET!E59)</f>
        <v/>
      </c>
      <c r="F59" s="22">
        <f>IF(AND('CASH FLOW'!F59=0,BUDGET!F59=0),"",'CASH FLOW'!F59-BUDGET!F59)</f>
        <v/>
      </c>
      <c r="G59" s="22">
        <f>IF(AND('CASH FLOW'!G59=0,BUDGET!G59=0),"",'CASH FLOW'!G59-BUDGET!G59)</f>
        <v/>
      </c>
      <c r="H59" s="22">
        <f>IF(AND('CASH FLOW'!H59=0,BUDGET!H59=0),"",'CASH FLOW'!H59-BUDGET!H59)</f>
        <v/>
      </c>
      <c r="I59" s="22">
        <f>IF(AND('CASH FLOW'!I59=0,BUDGET!I59=0),"",'CASH FLOW'!I59-BUDGET!I59)</f>
        <v/>
      </c>
      <c r="J59" s="22">
        <f>IF(AND('CASH FLOW'!J59=0,BUDGET!J59=0),"",'CASH FLOW'!J59-BUDGET!J59)</f>
        <v/>
      </c>
      <c r="K59" s="22">
        <f>IF(AND('CASH FLOW'!K59=0,BUDGET!K59=0),"",'CASH FLOW'!K59-BUDGET!K59)</f>
        <v/>
      </c>
      <c r="L59" s="22">
        <f>IF(AND('CASH FLOW'!L59=0,BUDGET!L59=0),"",'CASH FLOW'!L59-BUDGET!L59)</f>
        <v/>
      </c>
      <c r="M59" s="22">
        <f>IF(AND('CASH FLOW'!M59=0,BUDGET!M59=0),"",'CASH FLOW'!M59-BUDGET!M59)</f>
        <v/>
      </c>
      <c r="N59" s="22">
        <f>IF(AND('CASH FLOW'!N59=0,BUDGET!N59=0),"",'CASH FLOW'!N59-BUDGET!N59)</f>
        <v/>
      </c>
      <c r="O59" s="22">
        <f>IF(AND('CASH FLOW'!O59=0,BUDGET!O59=0),"",'CASH FLOW'!O59-BUDGET!O59)</f>
        <v/>
      </c>
      <c r="Q59" s="23">
        <f>IF(BUDGET!O59=0,"",('CASH FLOW'!O59-BUDGET!O59)/ABS(BUDGET!O59))</f>
        <v/>
      </c>
    </row>
    <row r="60">
      <c r="A60" s="13">
        <f>'CASH FLOW'!A60</f>
        <v/>
      </c>
      <c r="B60" s="13">
        <f>'CASH FLOW'!B60</f>
        <v/>
      </c>
      <c r="C60" s="22">
        <f>IF(AND('CASH FLOW'!C60=0,BUDGET!C60=0),"",'CASH FLOW'!C60-BUDGET!C60)</f>
        <v/>
      </c>
      <c r="D60" s="22">
        <f>IF(AND('CASH FLOW'!D60=0,BUDGET!D60=0),"",'CASH FLOW'!D60-BUDGET!D60)</f>
        <v/>
      </c>
      <c r="E60" s="22">
        <f>IF(AND('CASH FLOW'!E60=0,BUDGET!E60=0),"",'CASH FLOW'!E60-BUDGET!E60)</f>
        <v/>
      </c>
      <c r="F60" s="22">
        <f>IF(AND('CASH FLOW'!F60=0,BUDGET!F60=0),"",'CASH FLOW'!F60-BUDGET!F60)</f>
        <v/>
      </c>
      <c r="G60" s="22">
        <f>IF(AND('CASH FLOW'!G60=0,BUDGET!G60=0),"",'CASH FLOW'!G60-BUDGET!G60)</f>
        <v/>
      </c>
      <c r="H60" s="22">
        <f>IF(AND('CASH FLOW'!H60=0,BUDGET!H60=0),"",'CASH FLOW'!H60-BUDGET!H60)</f>
        <v/>
      </c>
      <c r="I60" s="22">
        <f>IF(AND('CASH FLOW'!I60=0,BUDGET!I60=0),"",'CASH FLOW'!I60-BUDGET!I60)</f>
        <v/>
      </c>
      <c r="J60" s="22">
        <f>IF(AND('CASH FLOW'!J60=0,BUDGET!J60=0),"",'CASH FLOW'!J60-BUDGET!J60)</f>
        <v/>
      </c>
      <c r="K60" s="22">
        <f>IF(AND('CASH FLOW'!K60=0,BUDGET!K60=0),"",'CASH FLOW'!K60-BUDGET!K60)</f>
        <v/>
      </c>
      <c r="L60" s="22">
        <f>IF(AND('CASH FLOW'!L60=0,BUDGET!L60=0),"",'CASH FLOW'!L60-BUDGET!L60)</f>
        <v/>
      </c>
      <c r="M60" s="22">
        <f>IF(AND('CASH FLOW'!M60=0,BUDGET!M60=0),"",'CASH FLOW'!M60-BUDGET!M60)</f>
        <v/>
      </c>
      <c r="N60" s="22">
        <f>IF(AND('CASH FLOW'!N60=0,BUDGET!N60=0),"",'CASH FLOW'!N60-BUDGET!N60)</f>
        <v/>
      </c>
      <c r="O60" s="22">
        <f>IF(AND('CASH FLOW'!O60=0,BUDGET!O60=0),"",'CASH FLOW'!O60-BUDGET!O60)</f>
        <v/>
      </c>
      <c r="Q60" s="23">
        <f>IF(BUDGET!O60=0,"",('CASH FLOW'!O60-BUDGET!O60)/ABS(BUDGET!O60))</f>
        <v/>
      </c>
    </row>
    <row r="61">
      <c r="A61" s="13">
        <f>'CASH FLOW'!A61</f>
        <v/>
      </c>
      <c r="B61" s="13">
        <f>'CASH FLOW'!B61</f>
        <v/>
      </c>
      <c r="C61" s="22">
        <f>IF(AND('CASH FLOW'!C61=0,BUDGET!C61=0),"",'CASH FLOW'!C61-BUDGET!C61)</f>
        <v/>
      </c>
      <c r="D61" s="22">
        <f>IF(AND('CASH FLOW'!D61=0,BUDGET!D61=0),"",'CASH FLOW'!D61-BUDGET!D61)</f>
        <v/>
      </c>
      <c r="E61" s="22">
        <f>IF(AND('CASH FLOW'!E61=0,BUDGET!E61=0),"",'CASH FLOW'!E61-BUDGET!E61)</f>
        <v/>
      </c>
      <c r="F61" s="22">
        <f>IF(AND('CASH FLOW'!F61=0,BUDGET!F61=0),"",'CASH FLOW'!F61-BUDGET!F61)</f>
        <v/>
      </c>
      <c r="G61" s="22">
        <f>IF(AND('CASH FLOW'!G61=0,BUDGET!G61=0),"",'CASH FLOW'!G61-BUDGET!G61)</f>
        <v/>
      </c>
      <c r="H61" s="22">
        <f>IF(AND('CASH FLOW'!H61=0,BUDGET!H61=0),"",'CASH FLOW'!H61-BUDGET!H61)</f>
        <v/>
      </c>
      <c r="I61" s="22">
        <f>IF(AND('CASH FLOW'!I61=0,BUDGET!I61=0),"",'CASH FLOW'!I61-BUDGET!I61)</f>
        <v/>
      </c>
      <c r="J61" s="22">
        <f>IF(AND('CASH FLOW'!J61=0,BUDGET!J61=0),"",'CASH FLOW'!J61-BUDGET!J61)</f>
        <v/>
      </c>
      <c r="K61" s="22">
        <f>IF(AND('CASH FLOW'!K61=0,BUDGET!K61=0),"",'CASH FLOW'!K61-BUDGET!K61)</f>
        <v/>
      </c>
      <c r="L61" s="22">
        <f>IF(AND('CASH FLOW'!L61=0,BUDGET!L61=0),"",'CASH FLOW'!L61-BUDGET!L61)</f>
        <v/>
      </c>
      <c r="M61" s="22">
        <f>IF(AND('CASH FLOW'!M61=0,BUDGET!M61=0),"",'CASH FLOW'!M61-BUDGET!M61)</f>
        <v/>
      </c>
      <c r="N61" s="22">
        <f>IF(AND('CASH FLOW'!N61=0,BUDGET!N61=0),"",'CASH FLOW'!N61-BUDGET!N61)</f>
        <v/>
      </c>
      <c r="O61" s="22">
        <f>IF(AND('CASH FLOW'!O61=0,BUDGET!O61=0),"",'CASH FLOW'!O61-BUDGET!O61)</f>
        <v/>
      </c>
      <c r="Q61" s="23">
        <f>IF(BUDGET!O61=0,"",('CASH FLOW'!O61-BUDGET!O61)/ABS(BUDGET!O61))</f>
        <v/>
      </c>
    </row>
    <row r="62">
      <c r="A62" s="13">
        <f>'CASH FLOW'!A62</f>
        <v/>
      </c>
      <c r="B62" s="13">
        <f>'CASH FLOW'!B62</f>
        <v/>
      </c>
      <c r="C62" s="22">
        <f>IF(AND('CASH FLOW'!C62=0,BUDGET!C62=0),"",'CASH FLOW'!C62-BUDGET!C62)</f>
        <v/>
      </c>
      <c r="D62" s="22">
        <f>IF(AND('CASH FLOW'!D62=0,BUDGET!D62=0),"",'CASH FLOW'!D62-BUDGET!D62)</f>
        <v/>
      </c>
      <c r="E62" s="22">
        <f>IF(AND('CASH FLOW'!E62=0,BUDGET!E62=0),"",'CASH FLOW'!E62-BUDGET!E62)</f>
        <v/>
      </c>
      <c r="F62" s="22">
        <f>IF(AND('CASH FLOW'!F62=0,BUDGET!F62=0),"",'CASH FLOW'!F62-BUDGET!F62)</f>
        <v/>
      </c>
      <c r="G62" s="22">
        <f>IF(AND('CASH FLOW'!G62=0,BUDGET!G62=0),"",'CASH FLOW'!G62-BUDGET!G62)</f>
        <v/>
      </c>
      <c r="H62" s="22">
        <f>IF(AND('CASH FLOW'!H62=0,BUDGET!H62=0),"",'CASH FLOW'!H62-BUDGET!H62)</f>
        <v/>
      </c>
      <c r="I62" s="22">
        <f>IF(AND('CASH FLOW'!I62=0,BUDGET!I62=0),"",'CASH FLOW'!I62-BUDGET!I62)</f>
        <v/>
      </c>
      <c r="J62" s="22">
        <f>IF(AND('CASH FLOW'!J62=0,BUDGET!J62=0),"",'CASH FLOW'!J62-BUDGET!J62)</f>
        <v/>
      </c>
      <c r="K62" s="22">
        <f>IF(AND('CASH FLOW'!K62=0,BUDGET!K62=0),"",'CASH FLOW'!K62-BUDGET!K62)</f>
        <v/>
      </c>
      <c r="L62" s="22">
        <f>IF(AND('CASH FLOW'!L62=0,BUDGET!L62=0),"",'CASH FLOW'!L62-BUDGET!L62)</f>
        <v/>
      </c>
      <c r="M62" s="22">
        <f>IF(AND('CASH FLOW'!M62=0,BUDGET!M62=0),"",'CASH FLOW'!M62-BUDGET!M62)</f>
        <v/>
      </c>
      <c r="N62" s="22">
        <f>IF(AND('CASH FLOW'!N62=0,BUDGET!N62=0),"",'CASH FLOW'!N62-BUDGET!N62)</f>
        <v/>
      </c>
      <c r="O62" s="22">
        <f>IF(AND('CASH FLOW'!O62=0,BUDGET!O62=0),"",'CASH FLOW'!O62-BUDGET!O62)</f>
        <v/>
      </c>
      <c r="Q62" s="23">
        <f>IF(BUDGET!O62=0,"",('CASH FLOW'!O62-BUDGET!O62)/ABS(BUDGET!O62))</f>
        <v/>
      </c>
    </row>
    <row r="63">
      <c r="A63" s="13">
        <f>'CASH FLOW'!A63</f>
        <v/>
      </c>
      <c r="B63" s="13">
        <f>'CASH FLOW'!B63</f>
        <v/>
      </c>
      <c r="C63" s="22">
        <f>IF(AND('CASH FLOW'!C63=0,BUDGET!C63=0),"",'CASH FLOW'!C63-BUDGET!C63)</f>
        <v/>
      </c>
      <c r="D63" s="22">
        <f>IF(AND('CASH FLOW'!D63=0,BUDGET!D63=0),"",'CASH FLOW'!D63-BUDGET!D63)</f>
        <v/>
      </c>
      <c r="E63" s="22">
        <f>IF(AND('CASH FLOW'!E63=0,BUDGET!E63=0),"",'CASH FLOW'!E63-BUDGET!E63)</f>
        <v/>
      </c>
      <c r="F63" s="22">
        <f>IF(AND('CASH FLOW'!F63=0,BUDGET!F63=0),"",'CASH FLOW'!F63-BUDGET!F63)</f>
        <v/>
      </c>
      <c r="G63" s="22">
        <f>IF(AND('CASH FLOW'!G63=0,BUDGET!G63=0),"",'CASH FLOW'!G63-BUDGET!G63)</f>
        <v/>
      </c>
      <c r="H63" s="22">
        <f>IF(AND('CASH FLOW'!H63=0,BUDGET!H63=0),"",'CASH FLOW'!H63-BUDGET!H63)</f>
        <v/>
      </c>
      <c r="I63" s="22">
        <f>IF(AND('CASH FLOW'!I63=0,BUDGET!I63=0),"",'CASH FLOW'!I63-BUDGET!I63)</f>
        <v/>
      </c>
      <c r="J63" s="22">
        <f>IF(AND('CASH FLOW'!J63=0,BUDGET!J63=0),"",'CASH FLOW'!J63-BUDGET!J63)</f>
        <v/>
      </c>
      <c r="K63" s="22">
        <f>IF(AND('CASH FLOW'!K63=0,BUDGET!K63=0),"",'CASH FLOW'!K63-BUDGET!K63)</f>
        <v/>
      </c>
      <c r="L63" s="22">
        <f>IF(AND('CASH FLOW'!L63=0,BUDGET!L63=0),"",'CASH FLOW'!L63-BUDGET!L63)</f>
        <v/>
      </c>
      <c r="M63" s="22">
        <f>IF(AND('CASH FLOW'!M63=0,BUDGET!M63=0),"",'CASH FLOW'!M63-BUDGET!M63)</f>
        <v/>
      </c>
      <c r="N63" s="22">
        <f>IF(AND('CASH FLOW'!N63=0,BUDGET!N63=0),"",'CASH FLOW'!N63-BUDGET!N63)</f>
        <v/>
      </c>
      <c r="O63" s="22">
        <f>IF(AND('CASH FLOW'!O63=0,BUDGET!O63=0),"",'CASH FLOW'!O63-BUDGET!O63)</f>
        <v/>
      </c>
      <c r="Q63" s="23">
        <f>IF(BUDGET!O63=0,"",('CASH FLOW'!O63-BUDGET!O63)/ABS(BUDGET!O63))</f>
        <v/>
      </c>
    </row>
    <row r="64">
      <c r="A64" s="13">
        <f>'CASH FLOW'!A64</f>
        <v/>
      </c>
      <c r="B64" s="13">
        <f>'CASH FLOW'!B64</f>
        <v/>
      </c>
      <c r="C64" s="22">
        <f>IF(AND('CASH FLOW'!C64=0,BUDGET!C64=0),"",'CASH FLOW'!C64-BUDGET!C64)</f>
        <v/>
      </c>
      <c r="D64" s="22">
        <f>IF(AND('CASH FLOW'!D64=0,BUDGET!D64=0),"",'CASH FLOW'!D64-BUDGET!D64)</f>
        <v/>
      </c>
      <c r="E64" s="22">
        <f>IF(AND('CASH FLOW'!E64=0,BUDGET!E64=0),"",'CASH FLOW'!E64-BUDGET!E64)</f>
        <v/>
      </c>
      <c r="F64" s="22">
        <f>IF(AND('CASH FLOW'!F64=0,BUDGET!F64=0),"",'CASH FLOW'!F64-BUDGET!F64)</f>
        <v/>
      </c>
      <c r="G64" s="22">
        <f>IF(AND('CASH FLOW'!G64=0,BUDGET!G64=0),"",'CASH FLOW'!G64-BUDGET!G64)</f>
        <v/>
      </c>
      <c r="H64" s="22">
        <f>IF(AND('CASH FLOW'!H64=0,BUDGET!H64=0),"",'CASH FLOW'!H64-BUDGET!H64)</f>
        <v/>
      </c>
      <c r="I64" s="22">
        <f>IF(AND('CASH FLOW'!I64=0,BUDGET!I64=0),"",'CASH FLOW'!I64-BUDGET!I64)</f>
        <v/>
      </c>
      <c r="J64" s="22">
        <f>IF(AND('CASH FLOW'!J64=0,BUDGET!J64=0),"",'CASH FLOW'!J64-BUDGET!J64)</f>
        <v/>
      </c>
      <c r="K64" s="22">
        <f>IF(AND('CASH FLOW'!K64=0,BUDGET!K64=0),"",'CASH FLOW'!K64-BUDGET!K64)</f>
        <v/>
      </c>
      <c r="L64" s="22">
        <f>IF(AND('CASH FLOW'!L64=0,BUDGET!L64=0),"",'CASH FLOW'!L64-BUDGET!L64)</f>
        <v/>
      </c>
      <c r="M64" s="22">
        <f>IF(AND('CASH FLOW'!M64=0,BUDGET!M64=0),"",'CASH FLOW'!M64-BUDGET!M64)</f>
        <v/>
      </c>
      <c r="N64" s="22">
        <f>IF(AND('CASH FLOW'!N64=0,BUDGET!N64=0),"",'CASH FLOW'!N64-BUDGET!N64)</f>
        <v/>
      </c>
      <c r="O64" s="22">
        <f>IF(AND('CASH FLOW'!O64=0,BUDGET!O64=0),"",'CASH FLOW'!O64-BUDGET!O64)</f>
        <v/>
      </c>
      <c r="Q64" s="23">
        <f>IF(BUDGET!O64=0,"",('CASH FLOW'!O64-BUDGET!O64)/ABS(BUDGET!O64))</f>
        <v/>
      </c>
    </row>
    <row r="65">
      <c r="A65" s="13">
        <f>'CASH FLOW'!A65</f>
        <v/>
      </c>
      <c r="B65" s="13">
        <f>'CASH FLOW'!B65</f>
        <v/>
      </c>
      <c r="C65" s="22">
        <f>IF(AND('CASH FLOW'!C65=0,BUDGET!C65=0),"",'CASH FLOW'!C65-BUDGET!C65)</f>
        <v/>
      </c>
      <c r="D65" s="22">
        <f>IF(AND('CASH FLOW'!D65=0,BUDGET!D65=0),"",'CASH FLOW'!D65-BUDGET!D65)</f>
        <v/>
      </c>
      <c r="E65" s="22">
        <f>IF(AND('CASH FLOW'!E65=0,BUDGET!E65=0),"",'CASH FLOW'!E65-BUDGET!E65)</f>
        <v/>
      </c>
      <c r="F65" s="22">
        <f>IF(AND('CASH FLOW'!F65=0,BUDGET!F65=0),"",'CASH FLOW'!F65-BUDGET!F65)</f>
        <v/>
      </c>
      <c r="G65" s="22">
        <f>IF(AND('CASH FLOW'!G65=0,BUDGET!G65=0),"",'CASH FLOW'!G65-BUDGET!G65)</f>
        <v/>
      </c>
      <c r="H65" s="22">
        <f>IF(AND('CASH FLOW'!H65=0,BUDGET!H65=0),"",'CASH FLOW'!H65-BUDGET!H65)</f>
        <v/>
      </c>
      <c r="I65" s="22">
        <f>IF(AND('CASH FLOW'!I65=0,BUDGET!I65=0),"",'CASH FLOW'!I65-BUDGET!I65)</f>
        <v/>
      </c>
      <c r="J65" s="22">
        <f>IF(AND('CASH FLOW'!J65=0,BUDGET!J65=0),"",'CASH FLOW'!J65-BUDGET!J65)</f>
        <v/>
      </c>
      <c r="K65" s="22">
        <f>IF(AND('CASH FLOW'!K65=0,BUDGET!K65=0),"",'CASH FLOW'!K65-BUDGET!K65)</f>
        <v/>
      </c>
      <c r="L65" s="22">
        <f>IF(AND('CASH FLOW'!L65=0,BUDGET!L65=0),"",'CASH FLOW'!L65-BUDGET!L65)</f>
        <v/>
      </c>
      <c r="M65" s="22">
        <f>IF(AND('CASH FLOW'!M65=0,BUDGET!M65=0),"",'CASH FLOW'!M65-BUDGET!M65)</f>
        <v/>
      </c>
      <c r="N65" s="22">
        <f>IF(AND('CASH FLOW'!N65=0,BUDGET!N65=0),"",'CASH FLOW'!N65-BUDGET!N65)</f>
        <v/>
      </c>
      <c r="O65" s="22">
        <f>IF(AND('CASH FLOW'!O65=0,BUDGET!O65=0),"",'CASH FLOW'!O65-BUDGET!O65)</f>
        <v/>
      </c>
      <c r="Q65" s="23">
        <f>IF(BUDGET!O65=0,"",('CASH FLOW'!O65-BUDGET!O65)/ABS(BUDGET!O65))</f>
        <v/>
      </c>
    </row>
    <row r="66">
      <c r="A66" s="13">
        <f>'CASH FLOW'!A66</f>
        <v/>
      </c>
      <c r="B66" s="13">
        <f>'CASH FLOW'!B66</f>
        <v/>
      </c>
      <c r="C66" s="22">
        <f>IF(AND('CASH FLOW'!C66=0,BUDGET!C66=0),"",'CASH FLOW'!C66-BUDGET!C66)</f>
        <v/>
      </c>
      <c r="D66" s="22">
        <f>IF(AND('CASH FLOW'!D66=0,BUDGET!D66=0),"",'CASH FLOW'!D66-BUDGET!D66)</f>
        <v/>
      </c>
      <c r="E66" s="22">
        <f>IF(AND('CASH FLOW'!E66=0,BUDGET!E66=0),"",'CASH FLOW'!E66-BUDGET!E66)</f>
        <v/>
      </c>
      <c r="F66" s="22">
        <f>IF(AND('CASH FLOW'!F66=0,BUDGET!F66=0),"",'CASH FLOW'!F66-BUDGET!F66)</f>
        <v/>
      </c>
      <c r="G66" s="22">
        <f>IF(AND('CASH FLOW'!G66=0,BUDGET!G66=0),"",'CASH FLOW'!G66-BUDGET!G66)</f>
        <v/>
      </c>
      <c r="H66" s="22">
        <f>IF(AND('CASH FLOW'!H66=0,BUDGET!H66=0),"",'CASH FLOW'!H66-BUDGET!H66)</f>
        <v/>
      </c>
      <c r="I66" s="22">
        <f>IF(AND('CASH FLOW'!I66=0,BUDGET!I66=0),"",'CASH FLOW'!I66-BUDGET!I66)</f>
        <v/>
      </c>
      <c r="J66" s="22">
        <f>IF(AND('CASH FLOW'!J66=0,BUDGET!J66=0),"",'CASH FLOW'!J66-BUDGET!J66)</f>
        <v/>
      </c>
      <c r="K66" s="22">
        <f>IF(AND('CASH FLOW'!K66=0,BUDGET!K66=0),"",'CASH FLOW'!K66-BUDGET!K66)</f>
        <v/>
      </c>
      <c r="L66" s="22">
        <f>IF(AND('CASH FLOW'!L66=0,BUDGET!L66=0),"",'CASH FLOW'!L66-BUDGET!L66)</f>
        <v/>
      </c>
      <c r="M66" s="22">
        <f>IF(AND('CASH FLOW'!M66=0,BUDGET!M66=0),"",'CASH FLOW'!M66-BUDGET!M66)</f>
        <v/>
      </c>
      <c r="N66" s="22">
        <f>IF(AND('CASH FLOW'!N66=0,BUDGET!N66=0),"",'CASH FLOW'!N66-BUDGET!N66)</f>
        <v/>
      </c>
      <c r="O66" s="22">
        <f>IF(AND('CASH FLOW'!O66=0,BUDGET!O66=0),"",'CASH FLOW'!O66-BUDGET!O66)</f>
        <v/>
      </c>
      <c r="Q66" s="23">
        <f>IF(BUDGET!O66=0,"",('CASH FLOW'!O66-BUDGET!O66)/ABS(BUDGET!O66))</f>
        <v/>
      </c>
    </row>
    <row r="67">
      <c r="A67" s="13">
        <f>'CASH FLOW'!A67</f>
        <v/>
      </c>
      <c r="B67" s="13">
        <f>'CASH FLOW'!B67</f>
        <v/>
      </c>
      <c r="C67" s="22">
        <f>IF(AND('CASH FLOW'!C67=0,BUDGET!C67=0),"",'CASH FLOW'!C67-BUDGET!C67)</f>
        <v/>
      </c>
      <c r="D67" s="22">
        <f>IF(AND('CASH FLOW'!D67=0,BUDGET!D67=0),"",'CASH FLOW'!D67-BUDGET!D67)</f>
        <v/>
      </c>
      <c r="E67" s="22">
        <f>IF(AND('CASH FLOW'!E67=0,BUDGET!E67=0),"",'CASH FLOW'!E67-BUDGET!E67)</f>
        <v/>
      </c>
      <c r="F67" s="22">
        <f>IF(AND('CASH FLOW'!F67=0,BUDGET!F67=0),"",'CASH FLOW'!F67-BUDGET!F67)</f>
        <v/>
      </c>
      <c r="G67" s="22">
        <f>IF(AND('CASH FLOW'!G67=0,BUDGET!G67=0),"",'CASH FLOW'!G67-BUDGET!G67)</f>
        <v/>
      </c>
      <c r="H67" s="22">
        <f>IF(AND('CASH FLOW'!H67=0,BUDGET!H67=0),"",'CASH FLOW'!H67-BUDGET!H67)</f>
        <v/>
      </c>
      <c r="I67" s="22">
        <f>IF(AND('CASH FLOW'!I67=0,BUDGET!I67=0),"",'CASH FLOW'!I67-BUDGET!I67)</f>
        <v/>
      </c>
      <c r="J67" s="22">
        <f>IF(AND('CASH FLOW'!J67=0,BUDGET!J67=0),"",'CASH FLOW'!J67-BUDGET!J67)</f>
        <v/>
      </c>
      <c r="K67" s="22">
        <f>IF(AND('CASH FLOW'!K67=0,BUDGET!K67=0),"",'CASH FLOW'!K67-BUDGET!K67)</f>
        <v/>
      </c>
      <c r="L67" s="22">
        <f>IF(AND('CASH FLOW'!L67=0,BUDGET!L67=0),"",'CASH FLOW'!L67-BUDGET!L67)</f>
        <v/>
      </c>
      <c r="M67" s="22">
        <f>IF(AND('CASH FLOW'!M67=0,BUDGET!M67=0),"",'CASH FLOW'!M67-BUDGET!M67)</f>
        <v/>
      </c>
      <c r="N67" s="22">
        <f>IF(AND('CASH FLOW'!N67=0,BUDGET!N67=0),"",'CASH FLOW'!N67-BUDGET!N67)</f>
        <v/>
      </c>
      <c r="O67" s="22">
        <f>IF(AND('CASH FLOW'!O67=0,BUDGET!O67=0),"",'CASH FLOW'!O67-BUDGET!O67)</f>
        <v/>
      </c>
      <c r="Q67" s="23">
        <f>IF(BUDGET!O67=0,"",('CASH FLOW'!O67-BUDGET!O67)/ABS(BUDGET!O67))</f>
        <v/>
      </c>
    </row>
    <row r="68">
      <c r="A68" s="13">
        <f>'CASH FLOW'!A68</f>
        <v/>
      </c>
      <c r="B68" s="13">
        <f>'CASH FLOW'!B68</f>
        <v/>
      </c>
      <c r="C68" s="22">
        <f>IF(AND('CASH FLOW'!C68=0,BUDGET!C68=0),"",'CASH FLOW'!C68-BUDGET!C68)</f>
        <v/>
      </c>
      <c r="D68" s="22">
        <f>IF(AND('CASH FLOW'!D68=0,BUDGET!D68=0),"",'CASH FLOW'!D68-BUDGET!D68)</f>
        <v/>
      </c>
      <c r="E68" s="22">
        <f>IF(AND('CASH FLOW'!E68=0,BUDGET!E68=0),"",'CASH FLOW'!E68-BUDGET!E68)</f>
        <v/>
      </c>
      <c r="F68" s="22">
        <f>IF(AND('CASH FLOW'!F68=0,BUDGET!F68=0),"",'CASH FLOW'!F68-BUDGET!F68)</f>
        <v/>
      </c>
      <c r="G68" s="22">
        <f>IF(AND('CASH FLOW'!G68=0,BUDGET!G68=0),"",'CASH FLOW'!G68-BUDGET!G68)</f>
        <v/>
      </c>
      <c r="H68" s="22">
        <f>IF(AND('CASH FLOW'!H68=0,BUDGET!H68=0),"",'CASH FLOW'!H68-BUDGET!H68)</f>
        <v/>
      </c>
      <c r="I68" s="22">
        <f>IF(AND('CASH FLOW'!I68=0,BUDGET!I68=0),"",'CASH FLOW'!I68-BUDGET!I68)</f>
        <v/>
      </c>
      <c r="J68" s="22">
        <f>IF(AND('CASH FLOW'!J68=0,BUDGET!J68=0),"",'CASH FLOW'!J68-BUDGET!J68)</f>
        <v/>
      </c>
      <c r="K68" s="22">
        <f>IF(AND('CASH FLOW'!K68=0,BUDGET!K68=0),"",'CASH FLOW'!K68-BUDGET!K68)</f>
        <v/>
      </c>
      <c r="L68" s="22">
        <f>IF(AND('CASH FLOW'!L68=0,BUDGET!L68=0),"",'CASH FLOW'!L68-BUDGET!L68)</f>
        <v/>
      </c>
      <c r="M68" s="22">
        <f>IF(AND('CASH FLOW'!M68=0,BUDGET!M68=0),"",'CASH FLOW'!M68-BUDGET!M68)</f>
        <v/>
      </c>
      <c r="N68" s="22">
        <f>IF(AND('CASH FLOW'!N68=0,BUDGET!N68=0),"",'CASH FLOW'!N68-BUDGET!N68)</f>
        <v/>
      </c>
      <c r="O68" s="22">
        <f>IF(AND('CASH FLOW'!O68=0,BUDGET!O68=0),"",'CASH FLOW'!O68-BUDGET!O68)</f>
        <v/>
      </c>
      <c r="Q68" s="23">
        <f>IF(BUDGET!O68=0,"",('CASH FLOW'!O68-BUDGET!O68)/ABS(BUDGET!O68))</f>
        <v/>
      </c>
    </row>
    <row r="69">
      <c r="A69" s="13">
        <f>'CASH FLOW'!A69</f>
        <v/>
      </c>
      <c r="B69" s="13">
        <f>'CASH FLOW'!B69</f>
        <v/>
      </c>
      <c r="C69" s="22">
        <f>IF(AND('CASH FLOW'!C69=0,BUDGET!C69=0),"",'CASH FLOW'!C69-BUDGET!C69)</f>
        <v/>
      </c>
      <c r="D69" s="22">
        <f>IF(AND('CASH FLOW'!D69=0,BUDGET!D69=0),"",'CASH FLOW'!D69-BUDGET!D69)</f>
        <v/>
      </c>
      <c r="E69" s="22">
        <f>IF(AND('CASH FLOW'!E69=0,BUDGET!E69=0),"",'CASH FLOW'!E69-BUDGET!E69)</f>
        <v/>
      </c>
      <c r="F69" s="22">
        <f>IF(AND('CASH FLOW'!F69=0,BUDGET!F69=0),"",'CASH FLOW'!F69-BUDGET!F69)</f>
        <v/>
      </c>
      <c r="G69" s="22">
        <f>IF(AND('CASH FLOW'!G69=0,BUDGET!G69=0),"",'CASH FLOW'!G69-BUDGET!G69)</f>
        <v/>
      </c>
      <c r="H69" s="22">
        <f>IF(AND('CASH FLOW'!H69=0,BUDGET!H69=0),"",'CASH FLOW'!H69-BUDGET!H69)</f>
        <v/>
      </c>
      <c r="I69" s="22">
        <f>IF(AND('CASH FLOW'!I69=0,BUDGET!I69=0),"",'CASH FLOW'!I69-BUDGET!I69)</f>
        <v/>
      </c>
      <c r="J69" s="22">
        <f>IF(AND('CASH FLOW'!J69=0,BUDGET!J69=0),"",'CASH FLOW'!J69-BUDGET!J69)</f>
        <v/>
      </c>
      <c r="K69" s="22">
        <f>IF(AND('CASH FLOW'!K69=0,BUDGET!K69=0),"",'CASH FLOW'!K69-BUDGET!K69)</f>
        <v/>
      </c>
      <c r="L69" s="22">
        <f>IF(AND('CASH FLOW'!L69=0,BUDGET!L69=0),"",'CASH FLOW'!L69-BUDGET!L69)</f>
        <v/>
      </c>
      <c r="M69" s="22">
        <f>IF(AND('CASH FLOW'!M69=0,BUDGET!M69=0),"",'CASH FLOW'!M69-BUDGET!M69)</f>
        <v/>
      </c>
      <c r="N69" s="22">
        <f>IF(AND('CASH FLOW'!N69=0,BUDGET!N69=0),"",'CASH FLOW'!N69-BUDGET!N69)</f>
        <v/>
      </c>
      <c r="O69" s="22">
        <f>IF(AND('CASH FLOW'!O69=0,BUDGET!O69=0),"",'CASH FLOW'!O69-BUDGET!O69)</f>
        <v/>
      </c>
      <c r="Q69" s="23">
        <f>IF(BUDGET!O69=0,"",('CASH FLOW'!O69-BUDGET!O69)/ABS(BUDGET!O69))</f>
        <v/>
      </c>
    </row>
    <row r="70">
      <c r="A70" s="13">
        <f>'CASH FLOW'!A70</f>
        <v/>
      </c>
      <c r="B70" s="13">
        <f>'CASH FLOW'!B70</f>
        <v/>
      </c>
      <c r="C70" s="22">
        <f>IF(AND('CASH FLOW'!C70=0,BUDGET!C70=0),"",'CASH FLOW'!C70-BUDGET!C70)</f>
        <v/>
      </c>
      <c r="D70" s="22">
        <f>IF(AND('CASH FLOW'!D70=0,BUDGET!D70=0),"",'CASH FLOW'!D70-BUDGET!D70)</f>
        <v/>
      </c>
      <c r="E70" s="22">
        <f>IF(AND('CASH FLOW'!E70=0,BUDGET!E70=0),"",'CASH FLOW'!E70-BUDGET!E70)</f>
        <v/>
      </c>
      <c r="F70" s="22">
        <f>IF(AND('CASH FLOW'!F70=0,BUDGET!F70=0),"",'CASH FLOW'!F70-BUDGET!F70)</f>
        <v/>
      </c>
      <c r="G70" s="22">
        <f>IF(AND('CASH FLOW'!G70=0,BUDGET!G70=0),"",'CASH FLOW'!G70-BUDGET!G70)</f>
        <v/>
      </c>
      <c r="H70" s="22">
        <f>IF(AND('CASH FLOW'!H70=0,BUDGET!H70=0),"",'CASH FLOW'!H70-BUDGET!H70)</f>
        <v/>
      </c>
      <c r="I70" s="22">
        <f>IF(AND('CASH FLOW'!I70=0,BUDGET!I70=0),"",'CASH FLOW'!I70-BUDGET!I70)</f>
        <v/>
      </c>
      <c r="J70" s="22">
        <f>IF(AND('CASH FLOW'!J70=0,BUDGET!J70=0),"",'CASH FLOW'!J70-BUDGET!J70)</f>
        <v/>
      </c>
      <c r="K70" s="22">
        <f>IF(AND('CASH FLOW'!K70=0,BUDGET!K70=0),"",'CASH FLOW'!K70-BUDGET!K70)</f>
        <v/>
      </c>
      <c r="L70" s="22">
        <f>IF(AND('CASH FLOW'!L70=0,BUDGET!L70=0),"",'CASH FLOW'!L70-BUDGET!L70)</f>
        <v/>
      </c>
      <c r="M70" s="22">
        <f>IF(AND('CASH FLOW'!M70=0,BUDGET!M70=0),"",'CASH FLOW'!M70-BUDGET!M70)</f>
        <v/>
      </c>
      <c r="N70" s="22">
        <f>IF(AND('CASH FLOW'!N70=0,BUDGET!N70=0),"",'CASH FLOW'!N70-BUDGET!N70)</f>
        <v/>
      </c>
      <c r="O70" s="22">
        <f>IF(AND('CASH FLOW'!O70=0,BUDGET!O70=0),"",'CASH FLOW'!O70-BUDGET!O70)</f>
        <v/>
      </c>
      <c r="Q70" s="23">
        <f>IF(BUDGET!O70=0,"",('CASH FLOW'!O70-BUDGET!O70)/ABS(BUDGET!O70))</f>
        <v/>
      </c>
    </row>
    <row r="71">
      <c r="A71" s="13">
        <f>'CASH FLOW'!A71</f>
        <v/>
      </c>
      <c r="B71" s="13">
        <f>'CASH FLOW'!B71</f>
        <v/>
      </c>
      <c r="C71" s="22">
        <f>IF(AND('CASH FLOW'!C71=0,BUDGET!C71=0),"",'CASH FLOW'!C71-BUDGET!C71)</f>
        <v/>
      </c>
      <c r="D71" s="22">
        <f>IF(AND('CASH FLOW'!D71=0,BUDGET!D71=0),"",'CASH FLOW'!D71-BUDGET!D71)</f>
        <v/>
      </c>
      <c r="E71" s="22">
        <f>IF(AND('CASH FLOW'!E71=0,BUDGET!E71=0),"",'CASH FLOW'!E71-BUDGET!E71)</f>
        <v/>
      </c>
      <c r="F71" s="22">
        <f>IF(AND('CASH FLOW'!F71=0,BUDGET!F71=0),"",'CASH FLOW'!F71-BUDGET!F71)</f>
        <v/>
      </c>
      <c r="G71" s="22">
        <f>IF(AND('CASH FLOW'!G71=0,BUDGET!G71=0),"",'CASH FLOW'!G71-BUDGET!G71)</f>
        <v/>
      </c>
      <c r="H71" s="22">
        <f>IF(AND('CASH FLOW'!H71=0,BUDGET!H71=0),"",'CASH FLOW'!H71-BUDGET!H71)</f>
        <v/>
      </c>
      <c r="I71" s="22">
        <f>IF(AND('CASH FLOW'!I71=0,BUDGET!I71=0),"",'CASH FLOW'!I71-BUDGET!I71)</f>
        <v/>
      </c>
      <c r="J71" s="22">
        <f>IF(AND('CASH FLOW'!J71=0,BUDGET!J71=0),"",'CASH FLOW'!J71-BUDGET!J71)</f>
        <v/>
      </c>
      <c r="K71" s="22">
        <f>IF(AND('CASH FLOW'!K71=0,BUDGET!K71=0),"",'CASH FLOW'!K71-BUDGET!K71)</f>
        <v/>
      </c>
      <c r="L71" s="22">
        <f>IF(AND('CASH FLOW'!L71=0,BUDGET!L71=0),"",'CASH FLOW'!L71-BUDGET!L71)</f>
        <v/>
      </c>
      <c r="M71" s="22">
        <f>IF(AND('CASH FLOW'!M71=0,BUDGET!M71=0),"",'CASH FLOW'!M71-BUDGET!M71)</f>
        <v/>
      </c>
      <c r="N71" s="22">
        <f>IF(AND('CASH FLOW'!N71=0,BUDGET!N71=0),"",'CASH FLOW'!N71-BUDGET!N71)</f>
        <v/>
      </c>
      <c r="O71" s="22">
        <f>IF(AND('CASH FLOW'!O71=0,BUDGET!O71=0),"",'CASH FLOW'!O71-BUDGET!O71)</f>
        <v/>
      </c>
      <c r="Q71" s="23">
        <f>IF(BUDGET!O71=0,"",('CASH FLOW'!O71-BUDGET!O71)/ABS(BUDGET!O71))</f>
        <v/>
      </c>
    </row>
    <row r="72">
      <c r="A72" s="13">
        <f>'CASH FLOW'!A72</f>
        <v/>
      </c>
      <c r="B72" s="13">
        <f>'CASH FLOW'!B72</f>
        <v/>
      </c>
      <c r="C72" s="22">
        <f>IF(AND('CASH FLOW'!C72=0,BUDGET!C72=0),"",'CASH FLOW'!C72-BUDGET!C72)</f>
        <v/>
      </c>
      <c r="D72" s="22">
        <f>IF(AND('CASH FLOW'!D72=0,BUDGET!D72=0),"",'CASH FLOW'!D72-BUDGET!D72)</f>
        <v/>
      </c>
      <c r="E72" s="22">
        <f>IF(AND('CASH FLOW'!E72=0,BUDGET!E72=0),"",'CASH FLOW'!E72-BUDGET!E72)</f>
        <v/>
      </c>
      <c r="F72" s="22">
        <f>IF(AND('CASH FLOW'!F72=0,BUDGET!F72=0),"",'CASH FLOW'!F72-BUDGET!F72)</f>
        <v/>
      </c>
      <c r="G72" s="22">
        <f>IF(AND('CASH FLOW'!G72=0,BUDGET!G72=0),"",'CASH FLOW'!G72-BUDGET!G72)</f>
        <v/>
      </c>
      <c r="H72" s="22">
        <f>IF(AND('CASH FLOW'!H72=0,BUDGET!H72=0),"",'CASH FLOW'!H72-BUDGET!H72)</f>
        <v/>
      </c>
      <c r="I72" s="22">
        <f>IF(AND('CASH FLOW'!I72=0,BUDGET!I72=0),"",'CASH FLOW'!I72-BUDGET!I72)</f>
        <v/>
      </c>
      <c r="J72" s="22">
        <f>IF(AND('CASH FLOW'!J72=0,BUDGET!J72=0),"",'CASH FLOW'!J72-BUDGET!J72)</f>
        <v/>
      </c>
      <c r="K72" s="22">
        <f>IF(AND('CASH FLOW'!K72=0,BUDGET!K72=0),"",'CASH FLOW'!K72-BUDGET!K72)</f>
        <v/>
      </c>
      <c r="L72" s="22">
        <f>IF(AND('CASH FLOW'!L72=0,BUDGET!L72=0),"",'CASH FLOW'!L72-BUDGET!L72)</f>
        <v/>
      </c>
      <c r="M72" s="22">
        <f>IF(AND('CASH FLOW'!M72=0,BUDGET!M72=0),"",'CASH FLOW'!M72-BUDGET!M72)</f>
        <v/>
      </c>
      <c r="N72" s="22">
        <f>IF(AND('CASH FLOW'!N72=0,BUDGET!N72=0),"",'CASH FLOW'!N72-BUDGET!N72)</f>
        <v/>
      </c>
      <c r="O72" s="22">
        <f>IF(AND('CASH FLOW'!O72=0,BUDGET!O72=0),"",'CASH FLOW'!O72-BUDGET!O72)</f>
        <v/>
      </c>
      <c r="Q72" s="23">
        <f>IF(BUDGET!O72=0,"",('CASH FLOW'!O72-BUDGET!O72)/ABS(BUDGET!O72))</f>
        <v/>
      </c>
    </row>
    <row r="73">
      <c r="A73" s="13">
        <f>'CASH FLOW'!A73</f>
        <v/>
      </c>
      <c r="B73" s="13">
        <f>'CASH FLOW'!B73</f>
        <v/>
      </c>
      <c r="C73" s="22">
        <f>IF(AND('CASH FLOW'!C73=0,BUDGET!C73=0),"",'CASH FLOW'!C73-BUDGET!C73)</f>
        <v/>
      </c>
      <c r="D73" s="22">
        <f>IF(AND('CASH FLOW'!D73=0,BUDGET!D73=0),"",'CASH FLOW'!D73-BUDGET!D73)</f>
        <v/>
      </c>
      <c r="E73" s="22">
        <f>IF(AND('CASH FLOW'!E73=0,BUDGET!E73=0),"",'CASH FLOW'!E73-BUDGET!E73)</f>
        <v/>
      </c>
      <c r="F73" s="22">
        <f>IF(AND('CASH FLOW'!F73=0,BUDGET!F73=0),"",'CASH FLOW'!F73-BUDGET!F73)</f>
        <v/>
      </c>
      <c r="G73" s="22">
        <f>IF(AND('CASH FLOW'!G73=0,BUDGET!G73=0),"",'CASH FLOW'!G73-BUDGET!G73)</f>
        <v/>
      </c>
      <c r="H73" s="22">
        <f>IF(AND('CASH FLOW'!H73=0,BUDGET!H73=0),"",'CASH FLOW'!H73-BUDGET!H73)</f>
        <v/>
      </c>
      <c r="I73" s="22">
        <f>IF(AND('CASH FLOW'!I73=0,BUDGET!I73=0),"",'CASH FLOW'!I73-BUDGET!I73)</f>
        <v/>
      </c>
      <c r="J73" s="22">
        <f>IF(AND('CASH FLOW'!J73=0,BUDGET!J73=0),"",'CASH FLOW'!J73-BUDGET!J73)</f>
        <v/>
      </c>
      <c r="K73" s="22">
        <f>IF(AND('CASH FLOW'!K73=0,BUDGET!K73=0),"",'CASH FLOW'!K73-BUDGET!K73)</f>
        <v/>
      </c>
      <c r="L73" s="22">
        <f>IF(AND('CASH FLOW'!L73=0,BUDGET!L73=0),"",'CASH FLOW'!L73-BUDGET!L73)</f>
        <v/>
      </c>
      <c r="M73" s="22">
        <f>IF(AND('CASH FLOW'!M73=0,BUDGET!M73=0),"",'CASH FLOW'!M73-BUDGET!M73)</f>
        <v/>
      </c>
      <c r="N73" s="22">
        <f>IF(AND('CASH FLOW'!N73=0,BUDGET!N73=0),"",'CASH FLOW'!N73-BUDGET!N73)</f>
        <v/>
      </c>
      <c r="O73" s="22">
        <f>IF(AND('CASH FLOW'!O73=0,BUDGET!O73=0),"",'CASH FLOW'!O73-BUDGET!O73)</f>
        <v/>
      </c>
      <c r="Q73" s="23">
        <f>IF(BUDGET!O73=0,"",('CASH FLOW'!O73-BUDGET!O73)/ABS(BUDGET!O73))</f>
        <v/>
      </c>
    </row>
    <row r="74">
      <c r="A74" s="13">
        <f>'CASH FLOW'!A74</f>
        <v/>
      </c>
      <c r="B74" s="13">
        <f>'CASH FLOW'!B74</f>
        <v/>
      </c>
      <c r="C74" s="22">
        <f>IF(AND('CASH FLOW'!C74=0,BUDGET!C74=0),"",'CASH FLOW'!C74-BUDGET!C74)</f>
        <v/>
      </c>
      <c r="D74" s="22">
        <f>IF(AND('CASH FLOW'!D74=0,BUDGET!D74=0),"",'CASH FLOW'!D74-BUDGET!D74)</f>
        <v/>
      </c>
      <c r="E74" s="22">
        <f>IF(AND('CASH FLOW'!E74=0,BUDGET!E74=0),"",'CASH FLOW'!E74-BUDGET!E74)</f>
        <v/>
      </c>
      <c r="F74" s="22">
        <f>IF(AND('CASH FLOW'!F74=0,BUDGET!F74=0),"",'CASH FLOW'!F74-BUDGET!F74)</f>
        <v/>
      </c>
      <c r="G74" s="22">
        <f>IF(AND('CASH FLOW'!G74=0,BUDGET!G74=0),"",'CASH FLOW'!G74-BUDGET!G74)</f>
        <v/>
      </c>
      <c r="H74" s="22">
        <f>IF(AND('CASH FLOW'!H74=0,BUDGET!H74=0),"",'CASH FLOW'!H74-BUDGET!H74)</f>
        <v/>
      </c>
      <c r="I74" s="22">
        <f>IF(AND('CASH FLOW'!I74=0,BUDGET!I74=0),"",'CASH FLOW'!I74-BUDGET!I74)</f>
        <v/>
      </c>
      <c r="J74" s="22">
        <f>IF(AND('CASH FLOW'!J74=0,BUDGET!J74=0),"",'CASH FLOW'!J74-BUDGET!J74)</f>
        <v/>
      </c>
      <c r="K74" s="22">
        <f>IF(AND('CASH FLOW'!K74=0,BUDGET!K74=0),"",'CASH FLOW'!K74-BUDGET!K74)</f>
        <v/>
      </c>
      <c r="L74" s="22">
        <f>IF(AND('CASH FLOW'!L74=0,BUDGET!L74=0),"",'CASH FLOW'!L74-BUDGET!L74)</f>
        <v/>
      </c>
      <c r="M74" s="22">
        <f>IF(AND('CASH FLOW'!M74=0,BUDGET!M74=0),"",'CASH FLOW'!M74-BUDGET!M74)</f>
        <v/>
      </c>
      <c r="N74" s="22">
        <f>IF(AND('CASH FLOW'!N74=0,BUDGET!N74=0),"",'CASH FLOW'!N74-BUDGET!N74)</f>
        <v/>
      </c>
      <c r="O74" s="22">
        <f>IF(AND('CASH FLOW'!O74=0,BUDGET!O74=0),"",'CASH FLOW'!O74-BUDGET!O74)</f>
        <v/>
      </c>
      <c r="Q74" s="23">
        <f>IF(BUDGET!O74=0,"",('CASH FLOW'!O74-BUDGET!O74)/ABS(BUDGET!O74))</f>
        <v/>
      </c>
    </row>
    <row r="75">
      <c r="A75" s="13">
        <f>'CASH FLOW'!A75</f>
        <v/>
      </c>
      <c r="B75" s="13">
        <f>'CASH FLOW'!B75</f>
        <v/>
      </c>
      <c r="C75" s="22">
        <f>IF(AND('CASH FLOW'!C75=0,BUDGET!C75=0),"",'CASH FLOW'!C75-BUDGET!C75)</f>
        <v/>
      </c>
      <c r="D75" s="22">
        <f>IF(AND('CASH FLOW'!D75=0,BUDGET!D75=0),"",'CASH FLOW'!D75-BUDGET!D75)</f>
        <v/>
      </c>
      <c r="E75" s="22">
        <f>IF(AND('CASH FLOW'!E75=0,BUDGET!E75=0),"",'CASH FLOW'!E75-BUDGET!E75)</f>
        <v/>
      </c>
      <c r="F75" s="22">
        <f>IF(AND('CASH FLOW'!F75=0,BUDGET!F75=0),"",'CASH FLOW'!F75-BUDGET!F75)</f>
        <v/>
      </c>
      <c r="G75" s="22">
        <f>IF(AND('CASH FLOW'!G75=0,BUDGET!G75=0),"",'CASH FLOW'!G75-BUDGET!G75)</f>
        <v/>
      </c>
      <c r="H75" s="22">
        <f>IF(AND('CASH FLOW'!H75=0,BUDGET!H75=0),"",'CASH FLOW'!H75-BUDGET!H75)</f>
        <v/>
      </c>
      <c r="I75" s="22">
        <f>IF(AND('CASH FLOW'!I75=0,BUDGET!I75=0),"",'CASH FLOW'!I75-BUDGET!I75)</f>
        <v/>
      </c>
      <c r="J75" s="22">
        <f>IF(AND('CASH FLOW'!J75=0,BUDGET!J75=0),"",'CASH FLOW'!J75-BUDGET!J75)</f>
        <v/>
      </c>
      <c r="K75" s="22">
        <f>IF(AND('CASH FLOW'!K75=0,BUDGET!K75=0),"",'CASH FLOW'!K75-BUDGET!K75)</f>
        <v/>
      </c>
      <c r="L75" s="22">
        <f>IF(AND('CASH FLOW'!L75=0,BUDGET!L75=0),"",'CASH FLOW'!L75-BUDGET!L75)</f>
        <v/>
      </c>
      <c r="M75" s="22">
        <f>IF(AND('CASH FLOW'!M75=0,BUDGET!M75=0),"",'CASH FLOW'!M75-BUDGET!M75)</f>
        <v/>
      </c>
      <c r="N75" s="22">
        <f>IF(AND('CASH FLOW'!N75=0,BUDGET!N75=0),"",'CASH FLOW'!N75-BUDGET!N75)</f>
        <v/>
      </c>
      <c r="O75" s="22">
        <f>IF(AND('CASH FLOW'!O75=0,BUDGET!O75=0),"",'CASH FLOW'!O75-BUDGET!O75)</f>
        <v/>
      </c>
      <c r="Q75" s="23">
        <f>IF(BUDGET!O75=0,"",('CASH FLOW'!O75-BUDGET!O75)/ABS(BUDGET!O75))</f>
        <v/>
      </c>
    </row>
    <row r="76">
      <c r="A76" s="13">
        <f>'CASH FLOW'!A76</f>
        <v/>
      </c>
      <c r="B76" s="13">
        <f>'CASH FLOW'!B76</f>
        <v/>
      </c>
      <c r="C76" s="22">
        <f>IF(AND('CASH FLOW'!C76=0,BUDGET!C76=0),"",'CASH FLOW'!C76-BUDGET!C76)</f>
        <v/>
      </c>
      <c r="D76" s="22">
        <f>IF(AND('CASH FLOW'!D76=0,BUDGET!D76=0),"",'CASH FLOW'!D76-BUDGET!D76)</f>
        <v/>
      </c>
      <c r="E76" s="22">
        <f>IF(AND('CASH FLOW'!E76=0,BUDGET!E76=0),"",'CASH FLOW'!E76-BUDGET!E76)</f>
        <v/>
      </c>
      <c r="F76" s="22">
        <f>IF(AND('CASH FLOW'!F76=0,BUDGET!F76=0),"",'CASH FLOW'!F76-BUDGET!F76)</f>
        <v/>
      </c>
      <c r="G76" s="22">
        <f>IF(AND('CASH FLOW'!G76=0,BUDGET!G76=0),"",'CASH FLOW'!G76-BUDGET!G76)</f>
        <v/>
      </c>
      <c r="H76" s="22">
        <f>IF(AND('CASH FLOW'!H76=0,BUDGET!H76=0),"",'CASH FLOW'!H76-BUDGET!H76)</f>
        <v/>
      </c>
      <c r="I76" s="22">
        <f>IF(AND('CASH FLOW'!I76=0,BUDGET!I76=0),"",'CASH FLOW'!I76-BUDGET!I76)</f>
        <v/>
      </c>
      <c r="J76" s="22">
        <f>IF(AND('CASH FLOW'!J76=0,BUDGET!J76=0),"",'CASH FLOW'!J76-BUDGET!J76)</f>
        <v/>
      </c>
      <c r="K76" s="22">
        <f>IF(AND('CASH FLOW'!K76=0,BUDGET!K76=0),"",'CASH FLOW'!K76-BUDGET!K76)</f>
        <v/>
      </c>
      <c r="L76" s="22">
        <f>IF(AND('CASH FLOW'!L76=0,BUDGET!L76=0),"",'CASH FLOW'!L76-BUDGET!L76)</f>
        <v/>
      </c>
      <c r="M76" s="22">
        <f>IF(AND('CASH FLOW'!M76=0,BUDGET!M76=0),"",'CASH FLOW'!M76-BUDGET!M76)</f>
        <v/>
      </c>
      <c r="N76" s="22">
        <f>IF(AND('CASH FLOW'!N76=0,BUDGET!N76=0),"",'CASH FLOW'!N76-BUDGET!N76)</f>
        <v/>
      </c>
      <c r="O76" s="22">
        <f>IF(AND('CASH FLOW'!O76=0,BUDGET!O76=0),"",'CASH FLOW'!O76-BUDGET!O76)</f>
        <v/>
      </c>
      <c r="Q76" s="23">
        <f>IF(BUDGET!O76=0,"",('CASH FLOW'!O76-BUDGET!O76)/ABS(BUDGET!O76))</f>
        <v/>
      </c>
    </row>
    <row r="77">
      <c r="A77" s="13">
        <f>'CASH FLOW'!A77</f>
        <v/>
      </c>
      <c r="B77" s="13">
        <f>'CASH FLOW'!B77</f>
        <v/>
      </c>
      <c r="C77" s="22">
        <f>IF(AND('CASH FLOW'!C77=0,BUDGET!C77=0),"",'CASH FLOW'!C77-BUDGET!C77)</f>
        <v/>
      </c>
      <c r="D77" s="22">
        <f>IF(AND('CASH FLOW'!D77=0,BUDGET!D77=0),"",'CASH FLOW'!D77-BUDGET!D77)</f>
        <v/>
      </c>
      <c r="E77" s="22">
        <f>IF(AND('CASH FLOW'!E77=0,BUDGET!E77=0),"",'CASH FLOW'!E77-BUDGET!E77)</f>
        <v/>
      </c>
      <c r="F77" s="22">
        <f>IF(AND('CASH FLOW'!F77=0,BUDGET!F77=0),"",'CASH FLOW'!F77-BUDGET!F77)</f>
        <v/>
      </c>
      <c r="G77" s="22">
        <f>IF(AND('CASH FLOW'!G77=0,BUDGET!G77=0),"",'CASH FLOW'!G77-BUDGET!G77)</f>
        <v/>
      </c>
      <c r="H77" s="22">
        <f>IF(AND('CASH FLOW'!H77=0,BUDGET!H77=0),"",'CASH FLOW'!H77-BUDGET!H77)</f>
        <v/>
      </c>
      <c r="I77" s="22">
        <f>IF(AND('CASH FLOW'!I77=0,BUDGET!I77=0),"",'CASH FLOW'!I77-BUDGET!I77)</f>
        <v/>
      </c>
      <c r="J77" s="22">
        <f>IF(AND('CASH FLOW'!J77=0,BUDGET!J77=0),"",'CASH FLOW'!J77-BUDGET!J77)</f>
        <v/>
      </c>
      <c r="K77" s="22">
        <f>IF(AND('CASH FLOW'!K77=0,BUDGET!K77=0),"",'CASH FLOW'!K77-BUDGET!K77)</f>
        <v/>
      </c>
      <c r="L77" s="22">
        <f>IF(AND('CASH FLOW'!L77=0,BUDGET!L77=0),"",'CASH FLOW'!L77-BUDGET!L77)</f>
        <v/>
      </c>
      <c r="M77" s="22">
        <f>IF(AND('CASH FLOW'!M77=0,BUDGET!M77=0),"",'CASH FLOW'!M77-BUDGET!M77)</f>
        <v/>
      </c>
      <c r="N77" s="22">
        <f>IF(AND('CASH FLOW'!N77=0,BUDGET!N77=0),"",'CASH FLOW'!N77-BUDGET!N77)</f>
        <v/>
      </c>
      <c r="O77" s="22">
        <f>IF(AND('CASH FLOW'!O77=0,BUDGET!O77=0),"",'CASH FLOW'!O77-BUDGET!O77)</f>
        <v/>
      </c>
      <c r="Q77" s="23">
        <f>IF(BUDGET!O77=0,"",('CASH FLOW'!O77-BUDGET!O77)/ABS(BUDGET!O77))</f>
        <v/>
      </c>
    </row>
    <row r="78">
      <c r="A78" s="13">
        <f>'CASH FLOW'!A78</f>
        <v/>
      </c>
      <c r="B78" s="13">
        <f>'CASH FLOW'!B78</f>
        <v/>
      </c>
      <c r="C78" s="22">
        <f>IF(AND('CASH FLOW'!C78=0,BUDGET!C78=0),"",'CASH FLOW'!C78-BUDGET!C78)</f>
        <v/>
      </c>
      <c r="D78" s="22">
        <f>IF(AND('CASH FLOW'!D78=0,BUDGET!D78=0),"",'CASH FLOW'!D78-BUDGET!D78)</f>
        <v/>
      </c>
      <c r="E78" s="22">
        <f>IF(AND('CASH FLOW'!E78=0,BUDGET!E78=0),"",'CASH FLOW'!E78-BUDGET!E78)</f>
        <v/>
      </c>
      <c r="F78" s="22">
        <f>IF(AND('CASH FLOW'!F78=0,BUDGET!F78=0),"",'CASH FLOW'!F78-BUDGET!F78)</f>
        <v/>
      </c>
      <c r="G78" s="22">
        <f>IF(AND('CASH FLOW'!G78=0,BUDGET!G78=0),"",'CASH FLOW'!G78-BUDGET!G78)</f>
        <v/>
      </c>
      <c r="H78" s="22">
        <f>IF(AND('CASH FLOW'!H78=0,BUDGET!H78=0),"",'CASH FLOW'!H78-BUDGET!H78)</f>
        <v/>
      </c>
      <c r="I78" s="22">
        <f>IF(AND('CASH FLOW'!I78=0,BUDGET!I78=0),"",'CASH FLOW'!I78-BUDGET!I78)</f>
        <v/>
      </c>
      <c r="J78" s="22">
        <f>IF(AND('CASH FLOW'!J78=0,BUDGET!J78=0),"",'CASH FLOW'!J78-BUDGET!J78)</f>
        <v/>
      </c>
      <c r="K78" s="22">
        <f>IF(AND('CASH FLOW'!K78=0,BUDGET!K78=0),"",'CASH FLOW'!K78-BUDGET!K78)</f>
        <v/>
      </c>
      <c r="L78" s="22">
        <f>IF(AND('CASH FLOW'!L78=0,BUDGET!L78=0),"",'CASH FLOW'!L78-BUDGET!L78)</f>
        <v/>
      </c>
      <c r="M78" s="22">
        <f>IF(AND('CASH FLOW'!M78=0,BUDGET!M78=0),"",'CASH FLOW'!M78-BUDGET!M78)</f>
        <v/>
      </c>
      <c r="N78" s="22">
        <f>IF(AND('CASH FLOW'!N78=0,BUDGET!N78=0),"",'CASH FLOW'!N78-BUDGET!N78)</f>
        <v/>
      </c>
      <c r="O78" s="22">
        <f>IF(AND('CASH FLOW'!O78=0,BUDGET!O78=0),"",'CASH FLOW'!O78-BUDGET!O78)</f>
        <v/>
      </c>
      <c r="Q78" s="23">
        <f>IF(BUDGET!O78=0,"",('CASH FLOW'!O78-BUDGET!O78)/ABS(BUDGET!O78))</f>
        <v/>
      </c>
    </row>
    <row r="79">
      <c r="A79" s="13">
        <f>'CASH FLOW'!A79</f>
        <v/>
      </c>
      <c r="B79" s="13">
        <f>'CASH FLOW'!B79</f>
        <v/>
      </c>
      <c r="C79" s="22">
        <f>IF(AND('CASH FLOW'!C79=0,BUDGET!C79=0),"",'CASH FLOW'!C79-BUDGET!C79)</f>
        <v/>
      </c>
      <c r="D79" s="22">
        <f>IF(AND('CASH FLOW'!D79=0,BUDGET!D79=0),"",'CASH FLOW'!D79-BUDGET!D79)</f>
        <v/>
      </c>
      <c r="E79" s="22">
        <f>IF(AND('CASH FLOW'!E79=0,BUDGET!E79=0),"",'CASH FLOW'!E79-BUDGET!E79)</f>
        <v/>
      </c>
      <c r="F79" s="22">
        <f>IF(AND('CASH FLOW'!F79=0,BUDGET!F79=0),"",'CASH FLOW'!F79-BUDGET!F79)</f>
        <v/>
      </c>
      <c r="G79" s="22">
        <f>IF(AND('CASH FLOW'!G79=0,BUDGET!G79=0),"",'CASH FLOW'!G79-BUDGET!G79)</f>
        <v/>
      </c>
      <c r="H79" s="22">
        <f>IF(AND('CASH FLOW'!H79=0,BUDGET!H79=0),"",'CASH FLOW'!H79-BUDGET!H79)</f>
        <v/>
      </c>
      <c r="I79" s="22">
        <f>IF(AND('CASH FLOW'!I79=0,BUDGET!I79=0),"",'CASH FLOW'!I79-BUDGET!I79)</f>
        <v/>
      </c>
      <c r="J79" s="22">
        <f>IF(AND('CASH FLOW'!J79=0,BUDGET!J79=0),"",'CASH FLOW'!J79-BUDGET!J79)</f>
        <v/>
      </c>
      <c r="K79" s="22">
        <f>IF(AND('CASH FLOW'!K79=0,BUDGET!K79=0),"",'CASH FLOW'!K79-BUDGET!K79)</f>
        <v/>
      </c>
      <c r="L79" s="22">
        <f>IF(AND('CASH FLOW'!L79=0,BUDGET!L79=0),"",'CASH FLOW'!L79-BUDGET!L79)</f>
        <v/>
      </c>
      <c r="M79" s="22">
        <f>IF(AND('CASH FLOW'!M79=0,BUDGET!M79=0),"",'CASH FLOW'!M79-BUDGET!M79)</f>
        <v/>
      </c>
      <c r="N79" s="22">
        <f>IF(AND('CASH FLOW'!N79=0,BUDGET!N79=0),"",'CASH FLOW'!N79-BUDGET!N79)</f>
        <v/>
      </c>
      <c r="O79" s="22">
        <f>IF(AND('CASH FLOW'!O79=0,BUDGET!O79=0),"",'CASH FLOW'!O79-BUDGET!O79)</f>
        <v/>
      </c>
      <c r="Q79" s="23">
        <f>IF(BUDGET!O79=0,"",('CASH FLOW'!O79-BUDGET!O79)/ABS(BUDGET!O79))</f>
        <v/>
      </c>
    </row>
    <row r="80">
      <c r="A80" s="13">
        <f>'CASH FLOW'!A80</f>
        <v/>
      </c>
      <c r="B80" s="13">
        <f>'CASH FLOW'!B80</f>
        <v/>
      </c>
      <c r="C80" s="22">
        <f>IF(AND('CASH FLOW'!C80=0,BUDGET!C80=0),"",'CASH FLOW'!C80-BUDGET!C80)</f>
        <v/>
      </c>
      <c r="D80" s="22">
        <f>IF(AND('CASH FLOW'!D80=0,BUDGET!D80=0),"",'CASH FLOW'!D80-BUDGET!D80)</f>
        <v/>
      </c>
      <c r="E80" s="22">
        <f>IF(AND('CASH FLOW'!E80=0,BUDGET!E80=0),"",'CASH FLOW'!E80-BUDGET!E80)</f>
        <v/>
      </c>
      <c r="F80" s="22">
        <f>IF(AND('CASH FLOW'!F80=0,BUDGET!F80=0),"",'CASH FLOW'!F80-BUDGET!F80)</f>
        <v/>
      </c>
      <c r="G80" s="22">
        <f>IF(AND('CASH FLOW'!G80=0,BUDGET!G80=0),"",'CASH FLOW'!G80-BUDGET!G80)</f>
        <v/>
      </c>
      <c r="H80" s="22">
        <f>IF(AND('CASH FLOW'!H80=0,BUDGET!H80=0),"",'CASH FLOW'!H80-BUDGET!H80)</f>
        <v/>
      </c>
      <c r="I80" s="22">
        <f>IF(AND('CASH FLOW'!I80=0,BUDGET!I80=0),"",'CASH FLOW'!I80-BUDGET!I80)</f>
        <v/>
      </c>
      <c r="J80" s="22">
        <f>IF(AND('CASH FLOW'!J80=0,BUDGET!J80=0),"",'CASH FLOW'!J80-BUDGET!J80)</f>
        <v/>
      </c>
      <c r="K80" s="22">
        <f>IF(AND('CASH FLOW'!K80=0,BUDGET!K80=0),"",'CASH FLOW'!K80-BUDGET!K80)</f>
        <v/>
      </c>
      <c r="L80" s="22">
        <f>IF(AND('CASH FLOW'!L80=0,BUDGET!L80=0),"",'CASH FLOW'!L80-BUDGET!L80)</f>
        <v/>
      </c>
      <c r="M80" s="22">
        <f>IF(AND('CASH FLOW'!M80=0,BUDGET!M80=0),"",'CASH FLOW'!M80-BUDGET!M80)</f>
        <v/>
      </c>
      <c r="N80" s="22">
        <f>IF(AND('CASH FLOW'!N80=0,BUDGET!N80=0),"",'CASH FLOW'!N80-BUDGET!N80)</f>
        <v/>
      </c>
      <c r="O80" s="22">
        <f>IF(AND('CASH FLOW'!O80=0,BUDGET!O80=0),"",'CASH FLOW'!O80-BUDGET!O80)</f>
        <v/>
      </c>
      <c r="Q80" s="23">
        <f>IF(BUDGET!O80=0,"",('CASH FLOW'!O80-BUDGET!O80)/ABS(BUDGET!O80))</f>
        <v/>
      </c>
    </row>
    <row r="81">
      <c r="A81" s="13">
        <f>'CASH FLOW'!A81</f>
        <v/>
      </c>
      <c r="B81" s="13">
        <f>'CASH FLOW'!B81</f>
        <v/>
      </c>
      <c r="C81" s="22">
        <f>IF(AND('CASH FLOW'!C81=0,BUDGET!C81=0),"",'CASH FLOW'!C81-BUDGET!C81)</f>
        <v/>
      </c>
      <c r="D81" s="22">
        <f>IF(AND('CASH FLOW'!D81=0,BUDGET!D81=0),"",'CASH FLOW'!D81-BUDGET!D81)</f>
        <v/>
      </c>
      <c r="E81" s="22">
        <f>IF(AND('CASH FLOW'!E81=0,BUDGET!E81=0),"",'CASH FLOW'!E81-BUDGET!E81)</f>
        <v/>
      </c>
      <c r="F81" s="22">
        <f>IF(AND('CASH FLOW'!F81=0,BUDGET!F81=0),"",'CASH FLOW'!F81-BUDGET!F81)</f>
        <v/>
      </c>
      <c r="G81" s="22">
        <f>IF(AND('CASH FLOW'!G81=0,BUDGET!G81=0),"",'CASH FLOW'!G81-BUDGET!G81)</f>
        <v/>
      </c>
      <c r="H81" s="22">
        <f>IF(AND('CASH FLOW'!H81=0,BUDGET!H81=0),"",'CASH FLOW'!H81-BUDGET!H81)</f>
        <v/>
      </c>
      <c r="I81" s="22">
        <f>IF(AND('CASH FLOW'!I81=0,BUDGET!I81=0),"",'CASH FLOW'!I81-BUDGET!I81)</f>
        <v/>
      </c>
      <c r="J81" s="22">
        <f>IF(AND('CASH FLOW'!J81=0,BUDGET!J81=0),"",'CASH FLOW'!J81-BUDGET!J81)</f>
        <v/>
      </c>
      <c r="K81" s="22">
        <f>IF(AND('CASH FLOW'!K81=0,BUDGET!K81=0),"",'CASH FLOW'!K81-BUDGET!K81)</f>
        <v/>
      </c>
      <c r="L81" s="22">
        <f>IF(AND('CASH FLOW'!L81=0,BUDGET!L81=0),"",'CASH FLOW'!L81-BUDGET!L81)</f>
        <v/>
      </c>
      <c r="M81" s="22">
        <f>IF(AND('CASH FLOW'!M81=0,BUDGET!M81=0),"",'CASH FLOW'!M81-BUDGET!M81)</f>
        <v/>
      </c>
      <c r="N81" s="22">
        <f>IF(AND('CASH FLOW'!N81=0,BUDGET!N81=0),"",'CASH FLOW'!N81-BUDGET!N81)</f>
        <v/>
      </c>
      <c r="O81" s="22">
        <f>IF(AND('CASH FLOW'!O81=0,BUDGET!O81=0),"",'CASH FLOW'!O81-BUDGET!O81)</f>
        <v/>
      </c>
      <c r="Q81" s="23">
        <f>IF(BUDGET!O81=0,"",('CASH FLOW'!O81-BUDGET!O81)/ABS(BUDGET!O81))</f>
        <v/>
      </c>
    </row>
    <row r="82">
      <c r="A82" s="13">
        <f>'CASH FLOW'!A82</f>
        <v/>
      </c>
      <c r="B82" s="13">
        <f>'CASH FLOW'!B82</f>
        <v/>
      </c>
      <c r="C82" s="22">
        <f>IF(AND('CASH FLOW'!C82=0,BUDGET!C82=0),"",'CASH FLOW'!C82-BUDGET!C82)</f>
        <v/>
      </c>
      <c r="D82" s="22">
        <f>IF(AND('CASH FLOW'!D82=0,BUDGET!D82=0),"",'CASH FLOW'!D82-BUDGET!D82)</f>
        <v/>
      </c>
      <c r="E82" s="22">
        <f>IF(AND('CASH FLOW'!E82=0,BUDGET!E82=0),"",'CASH FLOW'!E82-BUDGET!E82)</f>
        <v/>
      </c>
      <c r="F82" s="22">
        <f>IF(AND('CASH FLOW'!F82=0,BUDGET!F82=0),"",'CASH FLOW'!F82-BUDGET!F82)</f>
        <v/>
      </c>
      <c r="G82" s="22">
        <f>IF(AND('CASH FLOW'!G82=0,BUDGET!G82=0),"",'CASH FLOW'!G82-BUDGET!G82)</f>
        <v/>
      </c>
      <c r="H82" s="22">
        <f>IF(AND('CASH FLOW'!H82=0,BUDGET!H82=0),"",'CASH FLOW'!H82-BUDGET!H82)</f>
        <v/>
      </c>
      <c r="I82" s="22">
        <f>IF(AND('CASH FLOW'!I82=0,BUDGET!I82=0),"",'CASH FLOW'!I82-BUDGET!I82)</f>
        <v/>
      </c>
      <c r="J82" s="22">
        <f>IF(AND('CASH FLOW'!J82=0,BUDGET!J82=0),"",'CASH FLOW'!J82-BUDGET!J82)</f>
        <v/>
      </c>
      <c r="K82" s="22">
        <f>IF(AND('CASH FLOW'!K82=0,BUDGET!K82=0),"",'CASH FLOW'!K82-BUDGET!K82)</f>
        <v/>
      </c>
      <c r="L82" s="22">
        <f>IF(AND('CASH FLOW'!L82=0,BUDGET!L82=0),"",'CASH FLOW'!L82-BUDGET!L82)</f>
        <v/>
      </c>
      <c r="M82" s="22">
        <f>IF(AND('CASH FLOW'!M82=0,BUDGET!M82=0),"",'CASH FLOW'!M82-BUDGET!M82)</f>
        <v/>
      </c>
      <c r="N82" s="22">
        <f>IF(AND('CASH FLOW'!N82=0,BUDGET!N82=0),"",'CASH FLOW'!N82-BUDGET!N82)</f>
        <v/>
      </c>
      <c r="O82" s="22">
        <f>IF(AND('CASH FLOW'!O82=0,BUDGET!O82=0),"",'CASH FLOW'!O82-BUDGET!O82)</f>
        <v/>
      </c>
      <c r="Q82" s="23">
        <f>IF(BUDGET!O82=0,"",('CASH FLOW'!O82-BUDGET!O82)/ABS(BUDGET!O82))</f>
        <v/>
      </c>
    </row>
    <row r="83">
      <c r="A83" s="13">
        <f>'CASH FLOW'!A83</f>
        <v/>
      </c>
      <c r="B83" s="13">
        <f>'CASH FLOW'!B83</f>
        <v/>
      </c>
      <c r="C83" s="22">
        <f>IF(AND('CASH FLOW'!C83=0,BUDGET!C83=0),"",'CASH FLOW'!C83-BUDGET!C83)</f>
        <v/>
      </c>
      <c r="D83" s="22">
        <f>IF(AND('CASH FLOW'!D83=0,BUDGET!D83=0),"",'CASH FLOW'!D83-BUDGET!D83)</f>
        <v/>
      </c>
      <c r="E83" s="22">
        <f>IF(AND('CASH FLOW'!E83=0,BUDGET!E83=0),"",'CASH FLOW'!E83-BUDGET!E83)</f>
        <v/>
      </c>
      <c r="F83" s="22">
        <f>IF(AND('CASH FLOW'!F83=0,BUDGET!F83=0),"",'CASH FLOW'!F83-BUDGET!F83)</f>
        <v/>
      </c>
      <c r="G83" s="22">
        <f>IF(AND('CASH FLOW'!G83=0,BUDGET!G83=0),"",'CASH FLOW'!G83-BUDGET!G83)</f>
        <v/>
      </c>
      <c r="H83" s="22">
        <f>IF(AND('CASH FLOW'!H83=0,BUDGET!H83=0),"",'CASH FLOW'!H83-BUDGET!H83)</f>
        <v/>
      </c>
      <c r="I83" s="22">
        <f>IF(AND('CASH FLOW'!I83=0,BUDGET!I83=0),"",'CASH FLOW'!I83-BUDGET!I83)</f>
        <v/>
      </c>
      <c r="J83" s="22">
        <f>IF(AND('CASH FLOW'!J83=0,BUDGET!J83=0),"",'CASH FLOW'!J83-BUDGET!J83)</f>
        <v/>
      </c>
      <c r="K83" s="22">
        <f>IF(AND('CASH FLOW'!K83=0,BUDGET!K83=0),"",'CASH FLOW'!K83-BUDGET!K83)</f>
        <v/>
      </c>
      <c r="L83" s="22">
        <f>IF(AND('CASH FLOW'!L83=0,BUDGET!L83=0),"",'CASH FLOW'!L83-BUDGET!L83)</f>
        <v/>
      </c>
      <c r="M83" s="22">
        <f>IF(AND('CASH FLOW'!M83=0,BUDGET!M83=0),"",'CASH FLOW'!M83-BUDGET!M83)</f>
        <v/>
      </c>
      <c r="N83" s="22">
        <f>IF(AND('CASH FLOW'!N83=0,BUDGET!N83=0),"",'CASH FLOW'!N83-BUDGET!N83)</f>
        <v/>
      </c>
      <c r="O83" s="22">
        <f>IF(AND('CASH FLOW'!O83=0,BUDGET!O83=0),"",'CASH FLOW'!O83-BUDGET!O83)</f>
        <v/>
      </c>
      <c r="Q83" s="23">
        <f>IF(BUDGET!O83=0,"",('CASH FLOW'!O83-BUDGET!O83)/ABS(BUDGET!O83))</f>
        <v/>
      </c>
    </row>
    <row r="84">
      <c r="A84" s="13">
        <f>'CASH FLOW'!A84</f>
        <v/>
      </c>
      <c r="B84" s="13">
        <f>'CASH FLOW'!B84</f>
        <v/>
      </c>
      <c r="C84" s="22">
        <f>IF(AND('CASH FLOW'!C84=0,BUDGET!C84=0),"",'CASH FLOW'!C84-BUDGET!C84)</f>
        <v/>
      </c>
      <c r="D84" s="22">
        <f>IF(AND('CASH FLOW'!D84=0,BUDGET!D84=0),"",'CASH FLOW'!D84-BUDGET!D84)</f>
        <v/>
      </c>
      <c r="E84" s="22">
        <f>IF(AND('CASH FLOW'!E84=0,BUDGET!E84=0),"",'CASH FLOW'!E84-BUDGET!E84)</f>
        <v/>
      </c>
      <c r="F84" s="22">
        <f>IF(AND('CASH FLOW'!F84=0,BUDGET!F84=0),"",'CASH FLOW'!F84-BUDGET!F84)</f>
        <v/>
      </c>
      <c r="G84" s="22">
        <f>IF(AND('CASH FLOW'!G84=0,BUDGET!G84=0),"",'CASH FLOW'!G84-BUDGET!G84)</f>
        <v/>
      </c>
      <c r="H84" s="22">
        <f>IF(AND('CASH FLOW'!H84=0,BUDGET!H84=0),"",'CASH FLOW'!H84-BUDGET!H84)</f>
        <v/>
      </c>
      <c r="I84" s="22">
        <f>IF(AND('CASH FLOW'!I84=0,BUDGET!I84=0),"",'CASH FLOW'!I84-BUDGET!I84)</f>
        <v/>
      </c>
      <c r="J84" s="22">
        <f>IF(AND('CASH FLOW'!J84=0,BUDGET!J84=0),"",'CASH FLOW'!J84-BUDGET!J84)</f>
        <v/>
      </c>
      <c r="K84" s="22">
        <f>IF(AND('CASH FLOW'!K84=0,BUDGET!K84=0),"",'CASH FLOW'!K84-BUDGET!K84)</f>
        <v/>
      </c>
      <c r="L84" s="22">
        <f>IF(AND('CASH FLOW'!L84=0,BUDGET!L84=0),"",'CASH FLOW'!L84-BUDGET!L84)</f>
        <v/>
      </c>
      <c r="M84" s="22">
        <f>IF(AND('CASH FLOW'!M84=0,BUDGET!M84=0),"",'CASH FLOW'!M84-BUDGET!M84)</f>
        <v/>
      </c>
      <c r="N84" s="22">
        <f>IF(AND('CASH FLOW'!N84=0,BUDGET!N84=0),"",'CASH FLOW'!N84-BUDGET!N84)</f>
        <v/>
      </c>
      <c r="O84" s="22">
        <f>IF(AND('CASH FLOW'!O84=0,BUDGET!O84=0),"",'CASH FLOW'!O84-BUDGET!O84)</f>
        <v/>
      </c>
      <c r="Q84" s="23">
        <f>IF(BUDGET!O84=0,"",('CASH FLOW'!O84-BUDGET!O84)/ABS(BUDGET!O84))</f>
        <v/>
      </c>
    </row>
    <row r="85">
      <c r="A85" s="13">
        <f>'CASH FLOW'!A85</f>
        <v/>
      </c>
      <c r="B85" s="13">
        <f>'CASH FLOW'!B85</f>
        <v/>
      </c>
      <c r="C85" s="22">
        <f>IF(AND('CASH FLOW'!C85=0,BUDGET!C85=0),"",'CASH FLOW'!C85-BUDGET!C85)</f>
        <v/>
      </c>
      <c r="D85" s="22">
        <f>IF(AND('CASH FLOW'!D85=0,BUDGET!D85=0),"",'CASH FLOW'!D85-BUDGET!D85)</f>
        <v/>
      </c>
      <c r="E85" s="22">
        <f>IF(AND('CASH FLOW'!E85=0,BUDGET!E85=0),"",'CASH FLOW'!E85-BUDGET!E85)</f>
        <v/>
      </c>
      <c r="F85" s="22">
        <f>IF(AND('CASH FLOW'!F85=0,BUDGET!F85=0),"",'CASH FLOW'!F85-BUDGET!F85)</f>
        <v/>
      </c>
      <c r="G85" s="22">
        <f>IF(AND('CASH FLOW'!G85=0,BUDGET!G85=0),"",'CASH FLOW'!G85-BUDGET!G85)</f>
        <v/>
      </c>
      <c r="H85" s="22">
        <f>IF(AND('CASH FLOW'!H85=0,BUDGET!H85=0),"",'CASH FLOW'!H85-BUDGET!H85)</f>
        <v/>
      </c>
      <c r="I85" s="22">
        <f>IF(AND('CASH FLOW'!I85=0,BUDGET!I85=0),"",'CASH FLOW'!I85-BUDGET!I85)</f>
        <v/>
      </c>
      <c r="J85" s="22">
        <f>IF(AND('CASH FLOW'!J85=0,BUDGET!J85=0),"",'CASH FLOW'!J85-BUDGET!J85)</f>
        <v/>
      </c>
      <c r="K85" s="22">
        <f>IF(AND('CASH FLOW'!K85=0,BUDGET!K85=0),"",'CASH FLOW'!K85-BUDGET!K85)</f>
        <v/>
      </c>
      <c r="L85" s="22">
        <f>IF(AND('CASH FLOW'!L85=0,BUDGET!L85=0),"",'CASH FLOW'!L85-BUDGET!L85)</f>
        <v/>
      </c>
      <c r="M85" s="22">
        <f>IF(AND('CASH FLOW'!M85=0,BUDGET!M85=0),"",'CASH FLOW'!M85-BUDGET!M85)</f>
        <v/>
      </c>
      <c r="N85" s="22">
        <f>IF(AND('CASH FLOW'!N85=0,BUDGET!N85=0),"",'CASH FLOW'!N85-BUDGET!N85)</f>
        <v/>
      </c>
      <c r="O85" s="22">
        <f>IF(AND('CASH FLOW'!O85=0,BUDGET!O85=0),"",'CASH FLOW'!O85-BUDGET!O85)</f>
        <v/>
      </c>
      <c r="Q85" s="23">
        <f>IF(BUDGET!O85=0,"",('CASH FLOW'!O85-BUDGET!O85)/ABS(BUDGET!O85))</f>
        <v/>
      </c>
    </row>
    <row r="86">
      <c r="A86" s="13">
        <f>'CASH FLOW'!A86</f>
        <v/>
      </c>
      <c r="B86" s="13">
        <f>'CASH FLOW'!B86</f>
        <v/>
      </c>
      <c r="C86" s="22">
        <f>IF(AND('CASH FLOW'!C86=0,BUDGET!C86=0),"",'CASH FLOW'!C86-BUDGET!C86)</f>
        <v/>
      </c>
      <c r="D86" s="22">
        <f>IF(AND('CASH FLOW'!D86=0,BUDGET!D86=0),"",'CASH FLOW'!D86-BUDGET!D86)</f>
        <v/>
      </c>
      <c r="E86" s="22">
        <f>IF(AND('CASH FLOW'!E86=0,BUDGET!E86=0),"",'CASH FLOW'!E86-BUDGET!E86)</f>
        <v/>
      </c>
      <c r="F86" s="22">
        <f>IF(AND('CASH FLOW'!F86=0,BUDGET!F86=0),"",'CASH FLOW'!F86-BUDGET!F86)</f>
        <v/>
      </c>
      <c r="G86" s="22">
        <f>IF(AND('CASH FLOW'!G86=0,BUDGET!G86=0),"",'CASH FLOW'!G86-BUDGET!G86)</f>
        <v/>
      </c>
      <c r="H86" s="22">
        <f>IF(AND('CASH FLOW'!H86=0,BUDGET!H86=0),"",'CASH FLOW'!H86-BUDGET!H86)</f>
        <v/>
      </c>
      <c r="I86" s="22">
        <f>IF(AND('CASH FLOW'!I86=0,BUDGET!I86=0),"",'CASH FLOW'!I86-BUDGET!I86)</f>
        <v/>
      </c>
      <c r="J86" s="22">
        <f>IF(AND('CASH FLOW'!J86=0,BUDGET!J86=0),"",'CASH FLOW'!J86-BUDGET!J86)</f>
        <v/>
      </c>
      <c r="K86" s="22">
        <f>IF(AND('CASH FLOW'!K86=0,BUDGET!K86=0),"",'CASH FLOW'!K86-BUDGET!K86)</f>
        <v/>
      </c>
      <c r="L86" s="22">
        <f>IF(AND('CASH FLOW'!L86=0,BUDGET!L86=0),"",'CASH FLOW'!L86-BUDGET!L86)</f>
        <v/>
      </c>
      <c r="M86" s="22">
        <f>IF(AND('CASH FLOW'!M86=0,BUDGET!M86=0),"",'CASH FLOW'!M86-BUDGET!M86)</f>
        <v/>
      </c>
      <c r="N86" s="22">
        <f>IF(AND('CASH FLOW'!N86=0,BUDGET!N86=0),"",'CASH FLOW'!N86-BUDGET!N86)</f>
        <v/>
      </c>
      <c r="O86" s="22">
        <f>IF(AND('CASH FLOW'!O86=0,BUDGET!O86=0),"",'CASH FLOW'!O86-BUDGET!O86)</f>
        <v/>
      </c>
      <c r="Q86" s="23">
        <f>IF(BUDGET!O86=0,"",('CASH FLOW'!O86-BUDGET!O86)/ABS(BUDGET!O86))</f>
        <v/>
      </c>
    </row>
    <row r="87">
      <c r="A87" s="13">
        <f>'CASH FLOW'!A87</f>
        <v/>
      </c>
      <c r="B87" s="13">
        <f>'CASH FLOW'!B87</f>
        <v/>
      </c>
      <c r="C87" s="22">
        <f>IF(AND('CASH FLOW'!C87=0,BUDGET!C87=0),"",'CASH FLOW'!C87-BUDGET!C87)</f>
        <v/>
      </c>
      <c r="D87" s="22">
        <f>IF(AND('CASH FLOW'!D87=0,BUDGET!D87=0),"",'CASH FLOW'!D87-BUDGET!D87)</f>
        <v/>
      </c>
      <c r="E87" s="22">
        <f>IF(AND('CASH FLOW'!E87=0,BUDGET!E87=0),"",'CASH FLOW'!E87-BUDGET!E87)</f>
        <v/>
      </c>
      <c r="F87" s="22">
        <f>IF(AND('CASH FLOW'!F87=0,BUDGET!F87=0),"",'CASH FLOW'!F87-BUDGET!F87)</f>
        <v/>
      </c>
      <c r="G87" s="22">
        <f>IF(AND('CASH FLOW'!G87=0,BUDGET!G87=0),"",'CASH FLOW'!G87-BUDGET!G87)</f>
        <v/>
      </c>
      <c r="H87" s="22">
        <f>IF(AND('CASH FLOW'!H87=0,BUDGET!H87=0),"",'CASH FLOW'!H87-BUDGET!H87)</f>
        <v/>
      </c>
      <c r="I87" s="22">
        <f>IF(AND('CASH FLOW'!I87=0,BUDGET!I87=0),"",'CASH FLOW'!I87-BUDGET!I87)</f>
        <v/>
      </c>
      <c r="J87" s="22">
        <f>IF(AND('CASH FLOW'!J87=0,BUDGET!J87=0),"",'CASH FLOW'!J87-BUDGET!J87)</f>
        <v/>
      </c>
      <c r="K87" s="22">
        <f>IF(AND('CASH FLOW'!K87=0,BUDGET!K87=0),"",'CASH FLOW'!K87-BUDGET!K87)</f>
        <v/>
      </c>
      <c r="L87" s="22">
        <f>IF(AND('CASH FLOW'!L87=0,BUDGET!L87=0),"",'CASH FLOW'!L87-BUDGET!L87)</f>
        <v/>
      </c>
      <c r="M87" s="22">
        <f>IF(AND('CASH FLOW'!M87=0,BUDGET!M87=0),"",'CASH FLOW'!M87-BUDGET!M87)</f>
        <v/>
      </c>
      <c r="N87" s="22">
        <f>IF(AND('CASH FLOW'!N87=0,BUDGET!N87=0),"",'CASH FLOW'!N87-BUDGET!N87)</f>
        <v/>
      </c>
      <c r="O87" s="22">
        <f>IF(AND('CASH FLOW'!O87=0,BUDGET!O87=0),"",'CASH FLOW'!O87-BUDGET!O87)</f>
        <v/>
      </c>
      <c r="Q87" s="23">
        <f>IF(BUDGET!O87=0,"",('CASH FLOW'!O87-BUDGET!O87)/ABS(BUDGET!O87))</f>
        <v/>
      </c>
    </row>
    <row r="88">
      <c r="A88" s="13">
        <f>'CASH FLOW'!A88</f>
        <v/>
      </c>
      <c r="B88" s="13">
        <f>'CASH FLOW'!B88</f>
        <v/>
      </c>
      <c r="C88" s="22">
        <f>IF(AND('CASH FLOW'!C88=0,BUDGET!C88=0),"",'CASH FLOW'!C88-BUDGET!C88)</f>
        <v/>
      </c>
      <c r="D88" s="22">
        <f>IF(AND('CASH FLOW'!D88=0,BUDGET!D88=0),"",'CASH FLOW'!D88-BUDGET!D88)</f>
        <v/>
      </c>
      <c r="E88" s="22">
        <f>IF(AND('CASH FLOW'!E88=0,BUDGET!E88=0),"",'CASH FLOW'!E88-BUDGET!E88)</f>
        <v/>
      </c>
      <c r="F88" s="22">
        <f>IF(AND('CASH FLOW'!F88=0,BUDGET!F88=0),"",'CASH FLOW'!F88-BUDGET!F88)</f>
        <v/>
      </c>
      <c r="G88" s="22">
        <f>IF(AND('CASH FLOW'!G88=0,BUDGET!G88=0),"",'CASH FLOW'!G88-BUDGET!G88)</f>
        <v/>
      </c>
      <c r="H88" s="22">
        <f>IF(AND('CASH FLOW'!H88=0,BUDGET!H88=0),"",'CASH FLOW'!H88-BUDGET!H88)</f>
        <v/>
      </c>
      <c r="I88" s="22">
        <f>IF(AND('CASH FLOW'!I88=0,BUDGET!I88=0),"",'CASH FLOW'!I88-BUDGET!I88)</f>
        <v/>
      </c>
      <c r="J88" s="22">
        <f>IF(AND('CASH FLOW'!J88=0,BUDGET!J88=0),"",'CASH FLOW'!J88-BUDGET!J88)</f>
        <v/>
      </c>
      <c r="K88" s="22">
        <f>IF(AND('CASH FLOW'!K88=0,BUDGET!K88=0),"",'CASH FLOW'!K88-BUDGET!K88)</f>
        <v/>
      </c>
      <c r="L88" s="22">
        <f>IF(AND('CASH FLOW'!L88=0,BUDGET!L88=0),"",'CASH FLOW'!L88-BUDGET!L88)</f>
        <v/>
      </c>
      <c r="M88" s="22">
        <f>IF(AND('CASH FLOW'!M88=0,BUDGET!M88=0),"",'CASH FLOW'!M88-BUDGET!M88)</f>
        <v/>
      </c>
      <c r="N88" s="22">
        <f>IF(AND('CASH FLOW'!N88=0,BUDGET!N88=0),"",'CASH FLOW'!N88-BUDGET!N88)</f>
        <v/>
      </c>
      <c r="O88" s="22">
        <f>IF(AND('CASH FLOW'!O88=0,BUDGET!O88=0),"",'CASH FLOW'!O88-BUDGET!O88)</f>
        <v/>
      </c>
      <c r="Q88" s="23">
        <f>IF(BUDGET!O88=0,"",('CASH FLOW'!O88-BUDGET!O88)/ABS(BUDGET!O88))</f>
        <v/>
      </c>
    </row>
    <row r="89">
      <c r="A89" s="13">
        <f>'CASH FLOW'!A89</f>
        <v/>
      </c>
      <c r="B89" s="13">
        <f>'CASH FLOW'!B89</f>
        <v/>
      </c>
      <c r="C89" s="22">
        <f>IF(AND('CASH FLOW'!C89=0,BUDGET!C89=0),"",'CASH FLOW'!C89-BUDGET!C89)</f>
        <v/>
      </c>
      <c r="D89" s="22">
        <f>IF(AND('CASH FLOW'!D89=0,BUDGET!D89=0),"",'CASH FLOW'!D89-BUDGET!D89)</f>
        <v/>
      </c>
      <c r="E89" s="22">
        <f>IF(AND('CASH FLOW'!E89=0,BUDGET!E89=0),"",'CASH FLOW'!E89-BUDGET!E89)</f>
        <v/>
      </c>
      <c r="F89" s="22">
        <f>IF(AND('CASH FLOW'!F89=0,BUDGET!F89=0),"",'CASH FLOW'!F89-BUDGET!F89)</f>
        <v/>
      </c>
      <c r="G89" s="22">
        <f>IF(AND('CASH FLOW'!G89=0,BUDGET!G89=0),"",'CASH FLOW'!G89-BUDGET!G89)</f>
        <v/>
      </c>
      <c r="H89" s="22">
        <f>IF(AND('CASH FLOW'!H89=0,BUDGET!H89=0),"",'CASH FLOW'!H89-BUDGET!H89)</f>
        <v/>
      </c>
      <c r="I89" s="22">
        <f>IF(AND('CASH FLOW'!I89=0,BUDGET!I89=0),"",'CASH FLOW'!I89-BUDGET!I89)</f>
        <v/>
      </c>
      <c r="J89" s="22">
        <f>IF(AND('CASH FLOW'!J89=0,BUDGET!J89=0),"",'CASH FLOW'!J89-BUDGET!J89)</f>
        <v/>
      </c>
      <c r="K89" s="22">
        <f>IF(AND('CASH FLOW'!K89=0,BUDGET!K89=0),"",'CASH FLOW'!K89-BUDGET!K89)</f>
        <v/>
      </c>
      <c r="L89" s="22">
        <f>IF(AND('CASH FLOW'!L89=0,BUDGET!L89=0),"",'CASH FLOW'!L89-BUDGET!L89)</f>
        <v/>
      </c>
      <c r="M89" s="22">
        <f>IF(AND('CASH FLOW'!M89=0,BUDGET!M89=0),"",'CASH FLOW'!M89-BUDGET!M89)</f>
        <v/>
      </c>
      <c r="N89" s="22">
        <f>IF(AND('CASH FLOW'!N89=0,BUDGET!N89=0),"",'CASH FLOW'!N89-BUDGET!N89)</f>
        <v/>
      </c>
      <c r="O89" s="22">
        <f>IF(AND('CASH FLOW'!O89=0,BUDGET!O89=0),"",'CASH FLOW'!O89-BUDGET!O89)</f>
        <v/>
      </c>
      <c r="Q89" s="23">
        <f>IF(BUDGET!O89=0,"",('CASH FLOW'!O89-BUDGET!O89)/ABS(BUDGET!O89))</f>
        <v/>
      </c>
    </row>
    <row r="90">
      <c r="A90" s="13">
        <f>'CASH FLOW'!A90</f>
        <v/>
      </c>
      <c r="B90" s="13">
        <f>'CASH FLOW'!B90</f>
        <v/>
      </c>
      <c r="C90" s="22">
        <f>IF(AND('CASH FLOW'!C90=0,BUDGET!C90=0),"",'CASH FLOW'!C90-BUDGET!C90)</f>
        <v/>
      </c>
      <c r="D90" s="22">
        <f>IF(AND('CASH FLOW'!D90=0,BUDGET!D90=0),"",'CASH FLOW'!D90-BUDGET!D90)</f>
        <v/>
      </c>
      <c r="E90" s="22">
        <f>IF(AND('CASH FLOW'!E90=0,BUDGET!E90=0),"",'CASH FLOW'!E90-BUDGET!E90)</f>
        <v/>
      </c>
      <c r="F90" s="22">
        <f>IF(AND('CASH FLOW'!F90=0,BUDGET!F90=0),"",'CASH FLOW'!F90-BUDGET!F90)</f>
        <v/>
      </c>
      <c r="G90" s="22">
        <f>IF(AND('CASH FLOW'!G90=0,BUDGET!G90=0),"",'CASH FLOW'!G90-BUDGET!G90)</f>
        <v/>
      </c>
      <c r="H90" s="22">
        <f>IF(AND('CASH FLOW'!H90=0,BUDGET!H90=0),"",'CASH FLOW'!H90-BUDGET!H90)</f>
        <v/>
      </c>
      <c r="I90" s="22">
        <f>IF(AND('CASH FLOW'!I90=0,BUDGET!I90=0),"",'CASH FLOW'!I90-BUDGET!I90)</f>
        <v/>
      </c>
      <c r="J90" s="22">
        <f>IF(AND('CASH FLOW'!J90=0,BUDGET!J90=0),"",'CASH FLOW'!J90-BUDGET!J90)</f>
        <v/>
      </c>
      <c r="K90" s="22">
        <f>IF(AND('CASH FLOW'!K90=0,BUDGET!K90=0),"",'CASH FLOW'!K90-BUDGET!K90)</f>
        <v/>
      </c>
      <c r="L90" s="22">
        <f>IF(AND('CASH FLOW'!L90=0,BUDGET!L90=0),"",'CASH FLOW'!L90-BUDGET!L90)</f>
        <v/>
      </c>
      <c r="M90" s="22">
        <f>IF(AND('CASH FLOW'!M90=0,BUDGET!M90=0),"",'CASH FLOW'!M90-BUDGET!M90)</f>
        <v/>
      </c>
      <c r="N90" s="22">
        <f>IF(AND('CASH FLOW'!N90=0,BUDGET!N90=0),"",'CASH FLOW'!N90-BUDGET!N90)</f>
        <v/>
      </c>
      <c r="O90" s="22">
        <f>IF(AND('CASH FLOW'!O90=0,BUDGET!O90=0),"",'CASH FLOW'!O90-BUDGET!O90)</f>
        <v/>
      </c>
      <c r="Q90" s="23">
        <f>IF(BUDGET!O90=0,"",('CASH FLOW'!O90-BUDGET!O90)/ABS(BUDGET!O90))</f>
        <v/>
      </c>
    </row>
    <row r="91">
      <c r="A91" s="13">
        <f>'CASH FLOW'!A91</f>
        <v/>
      </c>
      <c r="B91" s="13">
        <f>'CASH FLOW'!B91</f>
        <v/>
      </c>
      <c r="C91" s="22">
        <f>IF(AND('CASH FLOW'!C91=0,BUDGET!C91=0),"",'CASH FLOW'!C91-BUDGET!C91)</f>
        <v/>
      </c>
      <c r="D91" s="22">
        <f>IF(AND('CASH FLOW'!D91=0,BUDGET!D91=0),"",'CASH FLOW'!D91-BUDGET!D91)</f>
        <v/>
      </c>
      <c r="E91" s="22">
        <f>IF(AND('CASH FLOW'!E91=0,BUDGET!E91=0),"",'CASH FLOW'!E91-BUDGET!E91)</f>
        <v/>
      </c>
      <c r="F91" s="22">
        <f>IF(AND('CASH FLOW'!F91=0,BUDGET!F91=0),"",'CASH FLOW'!F91-BUDGET!F91)</f>
        <v/>
      </c>
      <c r="G91" s="22">
        <f>IF(AND('CASH FLOW'!G91=0,BUDGET!G91=0),"",'CASH FLOW'!G91-BUDGET!G91)</f>
        <v/>
      </c>
      <c r="H91" s="22">
        <f>IF(AND('CASH FLOW'!H91=0,BUDGET!H91=0),"",'CASH FLOW'!H91-BUDGET!H91)</f>
        <v/>
      </c>
      <c r="I91" s="22">
        <f>IF(AND('CASH FLOW'!I91=0,BUDGET!I91=0),"",'CASH FLOW'!I91-BUDGET!I91)</f>
        <v/>
      </c>
      <c r="J91" s="22">
        <f>IF(AND('CASH FLOW'!J91=0,BUDGET!J91=0),"",'CASH FLOW'!J91-BUDGET!J91)</f>
        <v/>
      </c>
      <c r="K91" s="22">
        <f>IF(AND('CASH FLOW'!K91=0,BUDGET!K91=0),"",'CASH FLOW'!K91-BUDGET!K91)</f>
        <v/>
      </c>
      <c r="L91" s="22">
        <f>IF(AND('CASH FLOW'!L91=0,BUDGET!L91=0),"",'CASH FLOW'!L91-BUDGET!L91)</f>
        <v/>
      </c>
      <c r="M91" s="22">
        <f>IF(AND('CASH FLOW'!M91=0,BUDGET!M91=0),"",'CASH FLOW'!M91-BUDGET!M91)</f>
        <v/>
      </c>
      <c r="N91" s="22">
        <f>IF(AND('CASH FLOW'!N91=0,BUDGET!N91=0),"",'CASH FLOW'!N91-BUDGET!N91)</f>
        <v/>
      </c>
      <c r="O91" s="22">
        <f>IF(AND('CASH FLOW'!O91=0,BUDGET!O91=0),"",'CASH FLOW'!O91-BUDGET!O91)</f>
        <v/>
      </c>
      <c r="Q91" s="23">
        <f>IF(BUDGET!O91=0,"",('CASH FLOW'!O91-BUDGET!O91)/ABS(BUDGET!O91))</f>
        <v/>
      </c>
    </row>
    <row r="92">
      <c r="A92" s="13">
        <f>'CASH FLOW'!A92</f>
        <v/>
      </c>
      <c r="B92" s="13">
        <f>'CASH FLOW'!B92</f>
        <v/>
      </c>
      <c r="C92" s="22">
        <f>IF(AND('CASH FLOW'!C92=0,BUDGET!C92=0),"",'CASH FLOW'!C92-BUDGET!C92)</f>
        <v/>
      </c>
      <c r="D92" s="22">
        <f>IF(AND('CASH FLOW'!D92=0,BUDGET!D92=0),"",'CASH FLOW'!D92-BUDGET!D92)</f>
        <v/>
      </c>
      <c r="E92" s="22">
        <f>IF(AND('CASH FLOW'!E92=0,BUDGET!E92=0),"",'CASH FLOW'!E92-BUDGET!E92)</f>
        <v/>
      </c>
      <c r="F92" s="22">
        <f>IF(AND('CASH FLOW'!F92=0,BUDGET!F92=0),"",'CASH FLOW'!F92-BUDGET!F92)</f>
        <v/>
      </c>
      <c r="G92" s="22">
        <f>IF(AND('CASH FLOW'!G92=0,BUDGET!G92=0),"",'CASH FLOW'!G92-BUDGET!G92)</f>
        <v/>
      </c>
      <c r="H92" s="22">
        <f>IF(AND('CASH FLOW'!H92=0,BUDGET!H92=0),"",'CASH FLOW'!H92-BUDGET!H92)</f>
        <v/>
      </c>
      <c r="I92" s="22">
        <f>IF(AND('CASH FLOW'!I92=0,BUDGET!I92=0),"",'CASH FLOW'!I92-BUDGET!I92)</f>
        <v/>
      </c>
      <c r="J92" s="22">
        <f>IF(AND('CASH FLOW'!J92=0,BUDGET!J92=0),"",'CASH FLOW'!J92-BUDGET!J92)</f>
        <v/>
      </c>
      <c r="K92" s="22">
        <f>IF(AND('CASH FLOW'!K92=0,BUDGET!K92=0),"",'CASH FLOW'!K92-BUDGET!K92)</f>
        <v/>
      </c>
      <c r="L92" s="22">
        <f>IF(AND('CASH FLOW'!L92=0,BUDGET!L92=0),"",'CASH FLOW'!L92-BUDGET!L92)</f>
        <v/>
      </c>
      <c r="M92" s="22">
        <f>IF(AND('CASH FLOW'!M92=0,BUDGET!M92=0),"",'CASH FLOW'!M92-BUDGET!M92)</f>
        <v/>
      </c>
      <c r="N92" s="22">
        <f>IF(AND('CASH FLOW'!N92=0,BUDGET!N92=0),"",'CASH FLOW'!N92-BUDGET!N92)</f>
        <v/>
      </c>
      <c r="O92" s="22">
        <f>IF(AND('CASH FLOW'!O92=0,BUDGET!O92=0),"",'CASH FLOW'!O92-BUDGET!O92)</f>
        <v/>
      </c>
      <c r="Q92" s="23">
        <f>IF(BUDGET!O92=0,"",('CASH FLOW'!O92-BUDGET!O92)/ABS(BUDGET!O92))</f>
        <v/>
      </c>
    </row>
    <row r="93">
      <c r="A93" s="13">
        <f>'CASH FLOW'!A93</f>
        <v/>
      </c>
      <c r="B93" s="13">
        <f>'CASH FLOW'!B93</f>
        <v/>
      </c>
      <c r="C93" s="22">
        <f>IF(AND('CASH FLOW'!C93=0,BUDGET!C93=0),"",'CASH FLOW'!C93-BUDGET!C93)</f>
        <v/>
      </c>
      <c r="D93" s="22">
        <f>IF(AND('CASH FLOW'!D93=0,BUDGET!D93=0),"",'CASH FLOW'!D93-BUDGET!D93)</f>
        <v/>
      </c>
      <c r="E93" s="22">
        <f>IF(AND('CASH FLOW'!E93=0,BUDGET!E93=0),"",'CASH FLOW'!E93-BUDGET!E93)</f>
        <v/>
      </c>
      <c r="F93" s="22">
        <f>IF(AND('CASH FLOW'!F93=0,BUDGET!F93=0),"",'CASH FLOW'!F93-BUDGET!F93)</f>
        <v/>
      </c>
      <c r="G93" s="22">
        <f>IF(AND('CASH FLOW'!G93=0,BUDGET!G93=0),"",'CASH FLOW'!G93-BUDGET!G93)</f>
        <v/>
      </c>
      <c r="H93" s="22">
        <f>IF(AND('CASH FLOW'!H93=0,BUDGET!H93=0),"",'CASH FLOW'!H93-BUDGET!H93)</f>
        <v/>
      </c>
      <c r="I93" s="22">
        <f>IF(AND('CASH FLOW'!I93=0,BUDGET!I93=0),"",'CASH FLOW'!I93-BUDGET!I93)</f>
        <v/>
      </c>
      <c r="J93" s="22">
        <f>IF(AND('CASH FLOW'!J93=0,BUDGET!J93=0),"",'CASH FLOW'!J93-BUDGET!J93)</f>
        <v/>
      </c>
      <c r="K93" s="22">
        <f>IF(AND('CASH FLOW'!K93=0,BUDGET!K93=0),"",'CASH FLOW'!K93-BUDGET!K93)</f>
        <v/>
      </c>
      <c r="L93" s="22">
        <f>IF(AND('CASH FLOW'!L93=0,BUDGET!L93=0),"",'CASH FLOW'!L93-BUDGET!L93)</f>
        <v/>
      </c>
      <c r="M93" s="22">
        <f>IF(AND('CASH FLOW'!M93=0,BUDGET!M93=0),"",'CASH FLOW'!M93-BUDGET!M93)</f>
        <v/>
      </c>
      <c r="N93" s="22">
        <f>IF(AND('CASH FLOW'!N93=0,BUDGET!N93=0),"",'CASH FLOW'!N93-BUDGET!N93)</f>
        <v/>
      </c>
      <c r="O93" s="22">
        <f>IF(AND('CASH FLOW'!O93=0,BUDGET!O93=0),"",'CASH FLOW'!O93-BUDGET!O93)</f>
        <v/>
      </c>
      <c r="Q93" s="23">
        <f>IF(BUDGET!O93=0,"",('CASH FLOW'!O93-BUDGET!O93)/ABS(BUDGET!O93))</f>
        <v/>
      </c>
    </row>
    <row r="94">
      <c r="A94" s="13">
        <f>'CASH FLOW'!A94</f>
        <v/>
      </c>
      <c r="B94" s="13">
        <f>'CASH FLOW'!B94</f>
        <v/>
      </c>
      <c r="C94" s="22">
        <f>IF(AND('CASH FLOW'!C94=0,BUDGET!C94=0),"",'CASH FLOW'!C94-BUDGET!C94)</f>
        <v/>
      </c>
      <c r="D94" s="22">
        <f>IF(AND('CASH FLOW'!D94=0,BUDGET!D94=0),"",'CASH FLOW'!D94-BUDGET!D94)</f>
        <v/>
      </c>
      <c r="E94" s="22">
        <f>IF(AND('CASH FLOW'!E94=0,BUDGET!E94=0),"",'CASH FLOW'!E94-BUDGET!E94)</f>
        <v/>
      </c>
      <c r="F94" s="22">
        <f>IF(AND('CASH FLOW'!F94=0,BUDGET!F94=0),"",'CASH FLOW'!F94-BUDGET!F94)</f>
        <v/>
      </c>
      <c r="G94" s="22">
        <f>IF(AND('CASH FLOW'!G94=0,BUDGET!G94=0),"",'CASH FLOW'!G94-BUDGET!G94)</f>
        <v/>
      </c>
      <c r="H94" s="22">
        <f>IF(AND('CASH FLOW'!H94=0,BUDGET!H94=0),"",'CASH FLOW'!H94-BUDGET!H94)</f>
        <v/>
      </c>
      <c r="I94" s="22">
        <f>IF(AND('CASH FLOW'!I94=0,BUDGET!I94=0),"",'CASH FLOW'!I94-BUDGET!I94)</f>
        <v/>
      </c>
      <c r="J94" s="22">
        <f>IF(AND('CASH FLOW'!J94=0,BUDGET!J94=0),"",'CASH FLOW'!J94-BUDGET!J94)</f>
        <v/>
      </c>
      <c r="K94" s="22">
        <f>IF(AND('CASH FLOW'!K94=0,BUDGET!K94=0),"",'CASH FLOW'!K94-BUDGET!K94)</f>
        <v/>
      </c>
      <c r="L94" s="22">
        <f>IF(AND('CASH FLOW'!L94=0,BUDGET!L94=0),"",'CASH FLOW'!L94-BUDGET!L94)</f>
        <v/>
      </c>
      <c r="M94" s="22">
        <f>IF(AND('CASH FLOW'!M94=0,BUDGET!M94=0),"",'CASH FLOW'!M94-BUDGET!M94)</f>
        <v/>
      </c>
      <c r="N94" s="22">
        <f>IF(AND('CASH FLOW'!N94=0,BUDGET!N94=0),"",'CASH FLOW'!N94-BUDGET!N94)</f>
        <v/>
      </c>
      <c r="O94" s="22">
        <f>IF(AND('CASH FLOW'!O94=0,BUDGET!O94=0),"",'CASH FLOW'!O94-BUDGET!O94)</f>
        <v/>
      </c>
      <c r="Q94" s="23">
        <f>IF(BUDGET!O94=0,"",('CASH FLOW'!O94-BUDGET!O94)/ABS(BUDGET!O94))</f>
        <v/>
      </c>
    </row>
    <row r="95">
      <c r="A95" s="13">
        <f>'CASH FLOW'!A95</f>
        <v/>
      </c>
      <c r="B95" s="13">
        <f>'CASH FLOW'!B95</f>
        <v/>
      </c>
      <c r="C95" s="22">
        <f>IF(AND('CASH FLOW'!C95=0,BUDGET!C95=0),"",'CASH FLOW'!C95-BUDGET!C95)</f>
        <v/>
      </c>
      <c r="D95" s="22">
        <f>IF(AND('CASH FLOW'!D95=0,BUDGET!D95=0),"",'CASH FLOW'!D95-BUDGET!D95)</f>
        <v/>
      </c>
      <c r="E95" s="22">
        <f>IF(AND('CASH FLOW'!E95=0,BUDGET!E95=0),"",'CASH FLOW'!E95-BUDGET!E95)</f>
        <v/>
      </c>
      <c r="F95" s="22">
        <f>IF(AND('CASH FLOW'!F95=0,BUDGET!F95=0),"",'CASH FLOW'!F95-BUDGET!F95)</f>
        <v/>
      </c>
      <c r="G95" s="22">
        <f>IF(AND('CASH FLOW'!G95=0,BUDGET!G95=0),"",'CASH FLOW'!G95-BUDGET!G95)</f>
        <v/>
      </c>
      <c r="H95" s="22">
        <f>IF(AND('CASH FLOW'!H95=0,BUDGET!H95=0),"",'CASH FLOW'!H95-BUDGET!H95)</f>
        <v/>
      </c>
      <c r="I95" s="22">
        <f>IF(AND('CASH FLOW'!I95=0,BUDGET!I95=0),"",'CASH FLOW'!I95-BUDGET!I95)</f>
        <v/>
      </c>
      <c r="J95" s="22">
        <f>IF(AND('CASH FLOW'!J95=0,BUDGET!J95=0),"",'CASH FLOW'!J95-BUDGET!J95)</f>
        <v/>
      </c>
      <c r="K95" s="22">
        <f>IF(AND('CASH FLOW'!K95=0,BUDGET!K95=0),"",'CASH FLOW'!K95-BUDGET!K95)</f>
        <v/>
      </c>
      <c r="L95" s="22">
        <f>IF(AND('CASH FLOW'!L95=0,BUDGET!L95=0),"",'CASH FLOW'!L95-BUDGET!L95)</f>
        <v/>
      </c>
      <c r="M95" s="22">
        <f>IF(AND('CASH FLOW'!M95=0,BUDGET!M95=0),"",'CASH FLOW'!M95-BUDGET!M95)</f>
        <v/>
      </c>
      <c r="N95" s="22">
        <f>IF(AND('CASH FLOW'!N95=0,BUDGET!N95=0),"",'CASH FLOW'!N95-BUDGET!N95)</f>
        <v/>
      </c>
      <c r="O95" s="22">
        <f>IF(AND('CASH FLOW'!O95=0,BUDGET!O95=0),"",'CASH FLOW'!O95-BUDGET!O95)</f>
        <v/>
      </c>
      <c r="Q95" s="23">
        <f>IF(BUDGET!O95=0,"",('CASH FLOW'!O95-BUDGET!O95)/ABS(BUDGET!O95))</f>
        <v/>
      </c>
    </row>
    <row r="96">
      <c r="A96" s="13">
        <f>'CASH FLOW'!A96</f>
        <v/>
      </c>
      <c r="B96" s="13">
        <f>'CASH FLOW'!B96</f>
        <v/>
      </c>
      <c r="C96" s="22">
        <f>IF(AND('CASH FLOW'!C96=0,BUDGET!C96=0),"",'CASH FLOW'!C96-BUDGET!C96)</f>
        <v/>
      </c>
      <c r="D96" s="22">
        <f>IF(AND('CASH FLOW'!D96=0,BUDGET!D96=0),"",'CASH FLOW'!D96-BUDGET!D96)</f>
        <v/>
      </c>
      <c r="E96" s="22">
        <f>IF(AND('CASH FLOW'!E96=0,BUDGET!E96=0),"",'CASH FLOW'!E96-BUDGET!E96)</f>
        <v/>
      </c>
      <c r="F96" s="22">
        <f>IF(AND('CASH FLOW'!F96=0,BUDGET!F96=0),"",'CASH FLOW'!F96-BUDGET!F96)</f>
        <v/>
      </c>
      <c r="G96" s="22">
        <f>IF(AND('CASH FLOW'!G96=0,BUDGET!G96=0),"",'CASH FLOW'!G96-BUDGET!G96)</f>
        <v/>
      </c>
      <c r="H96" s="22">
        <f>IF(AND('CASH FLOW'!H96=0,BUDGET!H96=0),"",'CASH FLOW'!H96-BUDGET!H96)</f>
        <v/>
      </c>
      <c r="I96" s="22">
        <f>IF(AND('CASH FLOW'!I96=0,BUDGET!I96=0),"",'CASH FLOW'!I96-BUDGET!I96)</f>
        <v/>
      </c>
      <c r="J96" s="22">
        <f>IF(AND('CASH FLOW'!J96=0,BUDGET!J96=0),"",'CASH FLOW'!J96-BUDGET!J96)</f>
        <v/>
      </c>
      <c r="K96" s="22">
        <f>IF(AND('CASH FLOW'!K96=0,BUDGET!K96=0),"",'CASH FLOW'!K96-BUDGET!K96)</f>
        <v/>
      </c>
      <c r="L96" s="22">
        <f>IF(AND('CASH FLOW'!L96=0,BUDGET!L96=0),"",'CASH FLOW'!L96-BUDGET!L96)</f>
        <v/>
      </c>
      <c r="M96" s="22">
        <f>IF(AND('CASH FLOW'!M96=0,BUDGET!M96=0),"",'CASH FLOW'!M96-BUDGET!M96)</f>
        <v/>
      </c>
      <c r="N96" s="22">
        <f>IF(AND('CASH FLOW'!N96=0,BUDGET!N96=0),"",'CASH FLOW'!N96-BUDGET!N96)</f>
        <v/>
      </c>
      <c r="O96" s="22">
        <f>IF(AND('CASH FLOW'!O96=0,BUDGET!O96=0),"",'CASH FLOW'!O96-BUDGET!O96)</f>
        <v/>
      </c>
      <c r="Q96" s="23">
        <f>IF(BUDGET!O96=0,"",('CASH FLOW'!O96-BUDGET!O96)/ABS(BUDGET!O96))</f>
        <v/>
      </c>
    </row>
    <row r="97">
      <c r="A97" s="13">
        <f>'CASH FLOW'!A97</f>
        <v/>
      </c>
      <c r="B97" s="13">
        <f>'CASH FLOW'!B97</f>
        <v/>
      </c>
      <c r="C97" s="22">
        <f>IF(AND('CASH FLOW'!C97=0,BUDGET!C97=0),"",'CASH FLOW'!C97-BUDGET!C97)</f>
        <v/>
      </c>
      <c r="D97" s="22">
        <f>IF(AND('CASH FLOW'!D97=0,BUDGET!D97=0),"",'CASH FLOW'!D97-BUDGET!D97)</f>
        <v/>
      </c>
      <c r="E97" s="22">
        <f>IF(AND('CASH FLOW'!E97=0,BUDGET!E97=0),"",'CASH FLOW'!E97-BUDGET!E97)</f>
        <v/>
      </c>
      <c r="F97" s="22">
        <f>IF(AND('CASH FLOW'!F97=0,BUDGET!F97=0),"",'CASH FLOW'!F97-BUDGET!F97)</f>
        <v/>
      </c>
      <c r="G97" s="22">
        <f>IF(AND('CASH FLOW'!G97=0,BUDGET!G97=0),"",'CASH FLOW'!G97-BUDGET!G97)</f>
        <v/>
      </c>
      <c r="H97" s="22">
        <f>IF(AND('CASH FLOW'!H97=0,BUDGET!H97=0),"",'CASH FLOW'!H97-BUDGET!H97)</f>
        <v/>
      </c>
      <c r="I97" s="22">
        <f>IF(AND('CASH FLOW'!I97=0,BUDGET!I97=0),"",'CASH FLOW'!I97-BUDGET!I97)</f>
        <v/>
      </c>
      <c r="J97" s="22">
        <f>IF(AND('CASH FLOW'!J97=0,BUDGET!J97=0),"",'CASH FLOW'!J97-BUDGET!J97)</f>
        <v/>
      </c>
      <c r="K97" s="22">
        <f>IF(AND('CASH FLOW'!K97=0,BUDGET!K97=0),"",'CASH FLOW'!K97-BUDGET!K97)</f>
        <v/>
      </c>
      <c r="L97" s="22">
        <f>IF(AND('CASH FLOW'!L97=0,BUDGET!L97=0),"",'CASH FLOW'!L97-BUDGET!L97)</f>
        <v/>
      </c>
      <c r="M97" s="22">
        <f>IF(AND('CASH FLOW'!M97=0,BUDGET!M97=0),"",'CASH FLOW'!M97-BUDGET!M97)</f>
        <v/>
      </c>
      <c r="N97" s="22">
        <f>IF(AND('CASH FLOW'!N97=0,BUDGET!N97=0),"",'CASH FLOW'!N97-BUDGET!N97)</f>
        <v/>
      </c>
      <c r="O97" s="22">
        <f>IF(AND('CASH FLOW'!O97=0,BUDGET!O97=0),"",'CASH FLOW'!O97-BUDGET!O97)</f>
        <v/>
      </c>
      <c r="Q97" s="23">
        <f>IF(BUDGET!O97=0,"",('CASH FLOW'!O97-BUDGET!O97)/ABS(BUDGET!O97))</f>
        <v/>
      </c>
    </row>
    <row r="98">
      <c r="A98" s="13">
        <f>'CASH FLOW'!A98</f>
        <v/>
      </c>
      <c r="B98" s="13">
        <f>'CASH FLOW'!B98</f>
        <v/>
      </c>
      <c r="C98" s="22">
        <f>IF(AND('CASH FLOW'!C98=0,BUDGET!C98=0),"",'CASH FLOW'!C98-BUDGET!C98)</f>
        <v/>
      </c>
      <c r="D98" s="22">
        <f>IF(AND('CASH FLOW'!D98=0,BUDGET!D98=0),"",'CASH FLOW'!D98-BUDGET!D98)</f>
        <v/>
      </c>
      <c r="E98" s="22">
        <f>IF(AND('CASH FLOW'!E98=0,BUDGET!E98=0),"",'CASH FLOW'!E98-BUDGET!E98)</f>
        <v/>
      </c>
      <c r="F98" s="22">
        <f>IF(AND('CASH FLOW'!F98=0,BUDGET!F98=0),"",'CASH FLOW'!F98-BUDGET!F98)</f>
        <v/>
      </c>
      <c r="G98" s="22">
        <f>IF(AND('CASH FLOW'!G98=0,BUDGET!G98=0),"",'CASH FLOW'!G98-BUDGET!G98)</f>
        <v/>
      </c>
      <c r="H98" s="22">
        <f>IF(AND('CASH FLOW'!H98=0,BUDGET!H98=0),"",'CASH FLOW'!H98-BUDGET!H98)</f>
        <v/>
      </c>
      <c r="I98" s="22">
        <f>IF(AND('CASH FLOW'!I98=0,BUDGET!I98=0),"",'CASH FLOW'!I98-BUDGET!I98)</f>
        <v/>
      </c>
      <c r="J98" s="22">
        <f>IF(AND('CASH FLOW'!J98=0,BUDGET!J98=0),"",'CASH FLOW'!J98-BUDGET!J98)</f>
        <v/>
      </c>
      <c r="K98" s="22">
        <f>IF(AND('CASH FLOW'!K98=0,BUDGET!K98=0),"",'CASH FLOW'!K98-BUDGET!K98)</f>
        <v/>
      </c>
      <c r="L98" s="22">
        <f>IF(AND('CASH FLOW'!L98=0,BUDGET!L98=0),"",'CASH FLOW'!L98-BUDGET!L98)</f>
        <v/>
      </c>
      <c r="M98" s="22">
        <f>IF(AND('CASH FLOW'!M98=0,BUDGET!M98=0),"",'CASH FLOW'!M98-BUDGET!M98)</f>
        <v/>
      </c>
      <c r="N98" s="22">
        <f>IF(AND('CASH FLOW'!N98=0,BUDGET!N98=0),"",'CASH FLOW'!N98-BUDGET!N98)</f>
        <v/>
      </c>
      <c r="O98" s="22">
        <f>IF(AND('CASH FLOW'!O98=0,BUDGET!O98=0),"",'CASH FLOW'!O98-BUDGET!O98)</f>
        <v/>
      </c>
      <c r="Q98" s="23">
        <f>IF(BUDGET!O98=0,"",('CASH FLOW'!O98-BUDGET!O98)/ABS(BUDGET!O98))</f>
        <v/>
      </c>
    </row>
    <row r="99">
      <c r="A99" s="13">
        <f>'CASH FLOW'!A99</f>
        <v/>
      </c>
      <c r="B99" s="13">
        <f>'CASH FLOW'!B99</f>
        <v/>
      </c>
      <c r="C99" s="22">
        <f>IF(AND('CASH FLOW'!C99=0,BUDGET!C99=0),"",'CASH FLOW'!C99-BUDGET!C99)</f>
        <v/>
      </c>
      <c r="D99" s="22">
        <f>IF(AND('CASH FLOW'!D99=0,BUDGET!D99=0),"",'CASH FLOW'!D99-BUDGET!D99)</f>
        <v/>
      </c>
      <c r="E99" s="22">
        <f>IF(AND('CASH FLOW'!E99=0,BUDGET!E99=0),"",'CASH FLOW'!E99-BUDGET!E99)</f>
        <v/>
      </c>
      <c r="F99" s="22">
        <f>IF(AND('CASH FLOW'!F99=0,BUDGET!F99=0),"",'CASH FLOW'!F99-BUDGET!F99)</f>
        <v/>
      </c>
      <c r="G99" s="22">
        <f>IF(AND('CASH FLOW'!G99=0,BUDGET!G99=0),"",'CASH FLOW'!G99-BUDGET!G99)</f>
        <v/>
      </c>
      <c r="H99" s="22">
        <f>IF(AND('CASH FLOW'!H99=0,BUDGET!H99=0),"",'CASH FLOW'!H99-BUDGET!H99)</f>
        <v/>
      </c>
      <c r="I99" s="22">
        <f>IF(AND('CASH FLOW'!I99=0,BUDGET!I99=0),"",'CASH FLOW'!I99-BUDGET!I99)</f>
        <v/>
      </c>
      <c r="J99" s="22">
        <f>IF(AND('CASH FLOW'!J99=0,BUDGET!J99=0),"",'CASH FLOW'!J99-BUDGET!J99)</f>
        <v/>
      </c>
      <c r="K99" s="22">
        <f>IF(AND('CASH FLOW'!K99=0,BUDGET!K99=0),"",'CASH FLOW'!K99-BUDGET!K99)</f>
        <v/>
      </c>
      <c r="L99" s="22">
        <f>IF(AND('CASH FLOW'!L99=0,BUDGET!L99=0),"",'CASH FLOW'!L99-BUDGET!L99)</f>
        <v/>
      </c>
      <c r="M99" s="22">
        <f>IF(AND('CASH FLOW'!M99=0,BUDGET!M99=0),"",'CASH FLOW'!M99-BUDGET!M99)</f>
        <v/>
      </c>
      <c r="N99" s="22">
        <f>IF(AND('CASH FLOW'!N99=0,BUDGET!N99=0),"",'CASH FLOW'!N99-BUDGET!N99)</f>
        <v/>
      </c>
      <c r="O99" s="22">
        <f>IF(AND('CASH FLOW'!O99=0,BUDGET!O99=0),"",'CASH FLOW'!O99-BUDGET!O99)</f>
        <v/>
      </c>
      <c r="Q99" s="23">
        <f>IF(BUDGET!O99=0,"",('CASH FLOW'!O99-BUDGET!O99)/ABS(BUDGET!O99))</f>
        <v/>
      </c>
    </row>
    <row r="100">
      <c r="A100" s="13">
        <f>'CASH FLOW'!A100</f>
        <v/>
      </c>
      <c r="B100" s="13">
        <f>'CASH FLOW'!B100</f>
        <v/>
      </c>
      <c r="C100" s="22">
        <f>IF(AND('CASH FLOW'!C100=0,BUDGET!C100=0),"",'CASH FLOW'!C100-BUDGET!C100)</f>
        <v/>
      </c>
      <c r="D100" s="22">
        <f>IF(AND('CASH FLOW'!D100=0,BUDGET!D100=0),"",'CASH FLOW'!D100-BUDGET!D100)</f>
        <v/>
      </c>
      <c r="E100" s="22">
        <f>IF(AND('CASH FLOW'!E100=0,BUDGET!E100=0),"",'CASH FLOW'!E100-BUDGET!E100)</f>
        <v/>
      </c>
      <c r="F100" s="22">
        <f>IF(AND('CASH FLOW'!F100=0,BUDGET!F100=0),"",'CASH FLOW'!F100-BUDGET!F100)</f>
        <v/>
      </c>
      <c r="G100" s="22">
        <f>IF(AND('CASH FLOW'!G100=0,BUDGET!G100=0),"",'CASH FLOW'!G100-BUDGET!G100)</f>
        <v/>
      </c>
      <c r="H100" s="22">
        <f>IF(AND('CASH FLOW'!H100=0,BUDGET!H100=0),"",'CASH FLOW'!H100-BUDGET!H100)</f>
        <v/>
      </c>
      <c r="I100" s="22">
        <f>IF(AND('CASH FLOW'!I100=0,BUDGET!I100=0),"",'CASH FLOW'!I100-BUDGET!I100)</f>
        <v/>
      </c>
      <c r="J100" s="22">
        <f>IF(AND('CASH FLOW'!J100=0,BUDGET!J100=0),"",'CASH FLOW'!J100-BUDGET!J100)</f>
        <v/>
      </c>
      <c r="K100" s="22">
        <f>IF(AND('CASH FLOW'!K100=0,BUDGET!K100=0),"",'CASH FLOW'!K100-BUDGET!K100)</f>
        <v/>
      </c>
      <c r="L100" s="22">
        <f>IF(AND('CASH FLOW'!L100=0,BUDGET!L100=0),"",'CASH FLOW'!L100-BUDGET!L100)</f>
        <v/>
      </c>
      <c r="M100" s="22">
        <f>IF(AND('CASH FLOW'!M100=0,BUDGET!M100=0),"",'CASH FLOW'!M100-BUDGET!M100)</f>
        <v/>
      </c>
      <c r="N100" s="22">
        <f>IF(AND('CASH FLOW'!N100=0,BUDGET!N100=0),"",'CASH FLOW'!N100-BUDGET!N100)</f>
        <v/>
      </c>
      <c r="O100" s="22">
        <f>IF(AND('CASH FLOW'!O100=0,BUDGET!O100=0),"",'CASH FLOW'!O100-BUDGET!O100)</f>
        <v/>
      </c>
      <c r="Q100" s="23">
        <f>IF(BUDGET!O100=0,"",('CASH FLOW'!O100-BUDGET!O100)/ABS(BUDGET!O100))</f>
        <v/>
      </c>
    </row>
    <row r="101">
      <c r="A101" s="13">
        <f>'CASH FLOW'!A101</f>
        <v/>
      </c>
      <c r="B101" s="13">
        <f>'CASH FLOW'!B101</f>
        <v/>
      </c>
      <c r="C101" s="22">
        <f>IF(AND('CASH FLOW'!C101=0,BUDGET!C101=0),"",'CASH FLOW'!C101-BUDGET!C101)</f>
        <v/>
      </c>
      <c r="D101" s="22">
        <f>IF(AND('CASH FLOW'!D101=0,BUDGET!D101=0),"",'CASH FLOW'!D101-BUDGET!D101)</f>
        <v/>
      </c>
      <c r="E101" s="22">
        <f>IF(AND('CASH FLOW'!E101=0,BUDGET!E101=0),"",'CASH FLOW'!E101-BUDGET!E101)</f>
        <v/>
      </c>
      <c r="F101" s="22">
        <f>IF(AND('CASH FLOW'!F101=0,BUDGET!F101=0),"",'CASH FLOW'!F101-BUDGET!F101)</f>
        <v/>
      </c>
      <c r="G101" s="22">
        <f>IF(AND('CASH FLOW'!G101=0,BUDGET!G101=0),"",'CASH FLOW'!G101-BUDGET!G101)</f>
        <v/>
      </c>
      <c r="H101" s="22">
        <f>IF(AND('CASH FLOW'!H101=0,BUDGET!H101=0),"",'CASH FLOW'!H101-BUDGET!H101)</f>
        <v/>
      </c>
      <c r="I101" s="22">
        <f>IF(AND('CASH FLOW'!I101=0,BUDGET!I101=0),"",'CASH FLOW'!I101-BUDGET!I101)</f>
        <v/>
      </c>
      <c r="J101" s="22">
        <f>IF(AND('CASH FLOW'!J101=0,BUDGET!J101=0),"",'CASH FLOW'!J101-BUDGET!J101)</f>
        <v/>
      </c>
      <c r="K101" s="22">
        <f>IF(AND('CASH FLOW'!K101=0,BUDGET!K101=0),"",'CASH FLOW'!K101-BUDGET!K101)</f>
        <v/>
      </c>
      <c r="L101" s="22">
        <f>IF(AND('CASH FLOW'!L101=0,BUDGET!L101=0),"",'CASH FLOW'!L101-BUDGET!L101)</f>
        <v/>
      </c>
      <c r="M101" s="22">
        <f>IF(AND('CASH FLOW'!M101=0,BUDGET!M101=0),"",'CASH FLOW'!M101-BUDGET!M101)</f>
        <v/>
      </c>
      <c r="N101" s="22">
        <f>IF(AND('CASH FLOW'!N101=0,BUDGET!N101=0),"",'CASH FLOW'!N101-BUDGET!N101)</f>
        <v/>
      </c>
      <c r="O101" s="22">
        <f>IF(AND('CASH FLOW'!O101=0,BUDGET!O101=0),"",'CASH FLOW'!O101-BUDGET!O101)</f>
        <v/>
      </c>
      <c r="Q101" s="23">
        <f>IF(BUDGET!O101=0,"",('CASH FLOW'!O101-BUDGET!O101)/ABS(BUDGET!O101))</f>
        <v/>
      </c>
    </row>
    <row r="102">
      <c r="A102" s="13">
        <f>'CASH FLOW'!A102</f>
        <v/>
      </c>
      <c r="B102" s="13">
        <f>'CASH FLOW'!B102</f>
        <v/>
      </c>
      <c r="C102" s="22">
        <f>IF(AND('CASH FLOW'!C102=0,BUDGET!C102=0),"",'CASH FLOW'!C102-BUDGET!C102)</f>
        <v/>
      </c>
      <c r="D102" s="22">
        <f>IF(AND('CASH FLOW'!D102=0,BUDGET!D102=0),"",'CASH FLOW'!D102-BUDGET!D102)</f>
        <v/>
      </c>
      <c r="E102" s="22">
        <f>IF(AND('CASH FLOW'!E102=0,BUDGET!E102=0),"",'CASH FLOW'!E102-BUDGET!E102)</f>
        <v/>
      </c>
      <c r="F102" s="22">
        <f>IF(AND('CASH FLOW'!F102=0,BUDGET!F102=0),"",'CASH FLOW'!F102-BUDGET!F102)</f>
        <v/>
      </c>
      <c r="G102" s="22">
        <f>IF(AND('CASH FLOW'!G102=0,BUDGET!G102=0),"",'CASH FLOW'!G102-BUDGET!G102)</f>
        <v/>
      </c>
      <c r="H102" s="22">
        <f>IF(AND('CASH FLOW'!H102=0,BUDGET!H102=0),"",'CASH FLOW'!H102-BUDGET!H102)</f>
        <v/>
      </c>
      <c r="I102" s="22">
        <f>IF(AND('CASH FLOW'!I102=0,BUDGET!I102=0),"",'CASH FLOW'!I102-BUDGET!I102)</f>
        <v/>
      </c>
      <c r="J102" s="22">
        <f>IF(AND('CASH FLOW'!J102=0,BUDGET!J102=0),"",'CASH FLOW'!J102-BUDGET!J102)</f>
        <v/>
      </c>
      <c r="K102" s="22">
        <f>IF(AND('CASH FLOW'!K102=0,BUDGET!K102=0),"",'CASH FLOW'!K102-BUDGET!K102)</f>
        <v/>
      </c>
      <c r="L102" s="22">
        <f>IF(AND('CASH FLOW'!L102=0,BUDGET!L102=0),"",'CASH FLOW'!L102-BUDGET!L102)</f>
        <v/>
      </c>
      <c r="M102" s="22">
        <f>IF(AND('CASH FLOW'!M102=0,BUDGET!M102=0),"",'CASH FLOW'!M102-BUDGET!M102)</f>
        <v/>
      </c>
      <c r="N102" s="22">
        <f>IF(AND('CASH FLOW'!N102=0,BUDGET!N102=0),"",'CASH FLOW'!N102-BUDGET!N102)</f>
        <v/>
      </c>
      <c r="O102" s="22">
        <f>IF(AND('CASH FLOW'!O102=0,BUDGET!O102=0),"",'CASH FLOW'!O102-BUDGET!O102)</f>
        <v/>
      </c>
      <c r="Q102" s="23">
        <f>IF(BUDGET!O102=0,"",('CASH FLOW'!O102-BUDGET!O102)/ABS(BUDGET!O102))</f>
        <v/>
      </c>
    </row>
    <row r="103">
      <c r="A103" s="13">
        <f>'CASH FLOW'!A103</f>
        <v/>
      </c>
      <c r="B103" s="13">
        <f>'CASH FLOW'!B103</f>
        <v/>
      </c>
      <c r="C103" s="22">
        <f>IF(AND('CASH FLOW'!C103=0,BUDGET!C103=0),"",'CASH FLOW'!C103-BUDGET!C103)</f>
        <v/>
      </c>
      <c r="D103" s="22">
        <f>IF(AND('CASH FLOW'!D103=0,BUDGET!D103=0),"",'CASH FLOW'!D103-BUDGET!D103)</f>
        <v/>
      </c>
      <c r="E103" s="22">
        <f>IF(AND('CASH FLOW'!E103=0,BUDGET!E103=0),"",'CASH FLOW'!E103-BUDGET!E103)</f>
        <v/>
      </c>
      <c r="F103" s="22">
        <f>IF(AND('CASH FLOW'!F103=0,BUDGET!F103=0),"",'CASH FLOW'!F103-BUDGET!F103)</f>
        <v/>
      </c>
      <c r="G103" s="22">
        <f>IF(AND('CASH FLOW'!G103=0,BUDGET!G103=0),"",'CASH FLOW'!G103-BUDGET!G103)</f>
        <v/>
      </c>
      <c r="H103" s="22">
        <f>IF(AND('CASH FLOW'!H103=0,BUDGET!H103=0),"",'CASH FLOW'!H103-BUDGET!H103)</f>
        <v/>
      </c>
      <c r="I103" s="22">
        <f>IF(AND('CASH FLOW'!I103=0,BUDGET!I103=0),"",'CASH FLOW'!I103-BUDGET!I103)</f>
        <v/>
      </c>
      <c r="J103" s="22">
        <f>IF(AND('CASH FLOW'!J103=0,BUDGET!J103=0),"",'CASH FLOW'!J103-BUDGET!J103)</f>
        <v/>
      </c>
      <c r="K103" s="22">
        <f>IF(AND('CASH FLOW'!K103=0,BUDGET!K103=0),"",'CASH FLOW'!K103-BUDGET!K103)</f>
        <v/>
      </c>
      <c r="L103" s="22">
        <f>IF(AND('CASH FLOW'!L103=0,BUDGET!L103=0),"",'CASH FLOW'!L103-BUDGET!L103)</f>
        <v/>
      </c>
      <c r="M103" s="22">
        <f>IF(AND('CASH FLOW'!M103=0,BUDGET!M103=0),"",'CASH FLOW'!M103-BUDGET!M103)</f>
        <v/>
      </c>
      <c r="N103" s="22">
        <f>IF(AND('CASH FLOW'!N103=0,BUDGET!N103=0),"",'CASH FLOW'!N103-BUDGET!N103)</f>
        <v/>
      </c>
      <c r="O103" s="22">
        <f>IF(AND('CASH FLOW'!O103=0,BUDGET!O103=0),"",'CASH FLOW'!O103-BUDGET!O103)</f>
        <v/>
      </c>
      <c r="Q103" s="23">
        <f>IF(BUDGET!O103=0,"",('CASH FLOW'!O103-BUDGET!O103)/ABS(BUDGET!O103))</f>
        <v/>
      </c>
    </row>
    <row r="104">
      <c r="A104" s="13">
        <f>'CASH FLOW'!A104</f>
        <v/>
      </c>
      <c r="B104" s="13">
        <f>'CASH FLOW'!B104</f>
        <v/>
      </c>
      <c r="C104" s="22">
        <f>IF(AND('CASH FLOW'!C104=0,BUDGET!C104=0),"",'CASH FLOW'!C104-BUDGET!C104)</f>
        <v/>
      </c>
      <c r="D104" s="22">
        <f>IF(AND('CASH FLOW'!D104=0,BUDGET!D104=0),"",'CASH FLOW'!D104-BUDGET!D104)</f>
        <v/>
      </c>
      <c r="E104" s="22">
        <f>IF(AND('CASH FLOW'!E104=0,BUDGET!E104=0),"",'CASH FLOW'!E104-BUDGET!E104)</f>
        <v/>
      </c>
      <c r="F104" s="22">
        <f>IF(AND('CASH FLOW'!F104=0,BUDGET!F104=0),"",'CASH FLOW'!F104-BUDGET!F104)</f>
        <v/>
      </c>
      <c r="G104" s="22">
        <f>IF(AND('CASH FLOW'!G104=0,BUDGET!G104=0),"",'CASH FLOW'!G104-BUDGET!G104)</f>
        <v/>
      </c>
      <c r="H104" s="22">
        <f>IF(AND('CASH FLOW'!H104=0,BUDGET!H104=0),"",'CASH FLOW'!H104-BUDGET!H104)</f>
        <v/>
      </c>
      <c r="I104" s="22">
        <f>IF(AND('CASH FLOW'!I104=0,BUDGET!I104=0),"",'CASH FLOW'!I104-BUDGET!I104)</f>
        <v/>
      </c>
      <c r="J104" s="22">
        <f>IF(AND('CASH FLOW'!J104=0,BUDGET!J104=0),"",'CASH FLOW'!J104-BUDGET!J104)</f>
        <v/>
      </c>
      <c r="K104" s="22">
        <f>IF(AND('CASH FLOW'!K104=0,BUDGET!K104=0),"",'CASH FLOW'!K104-BUDGET!K104)</f>
        <v/>
      </c>
      <c r="L104" s="22">
        <f>IF(AND('CASH FLOW'!L104=0,BUDGET!L104=0),"",'CASH FLOW'!L104-BUDGET!L104)</f>
        <v/>
      </c>
      <c r="M104" s="22">
        <f>IF(AND('CASH FLOW'!M104=0,BUDGET!M104=0),"",'CASH FLOW'!M104-BUDGET!M104)</f>
        <v/>
      </c>
      <c r="N104" s="22">
        <f>IF(AND('CASH FLOW'!N104=0,BUDGET!N104=0),"",'CASH FLOW'!N104-BUDGET!N104)</f>
        <v/>
      </c>
      <c r="O104" s="22">
        <f>IF(AND('CASH FLOW'!O104=0,BUDGET!O104=0),"",'CASH FLOW'!O104-BUDGET!O104)</f>
        <v/>
      </c>
      <c r="Q104" s="23">
        <f>IF(BUDGET!O104=0,"",('CASH FLOW'!O104-BUDGET!O104)/ABS(BUDGET!O104))</f>
        <v/>
      </c>
    </row>
    <row r="105">
      <c r="A105" s="13">
        <f>'CASH FLOW'!A105</f>
        <v/>
      </c>
      <c r="B105" s="13">
        <f>'CASH FLOW'!B105</f>
        <v/>
      </c>
      <c r="C105" s="22">
        <f>IF(AND('CASH FLOW'!C105=0,BUDGET!C105=0),"",'CASH FLOW'!C105-BUDGET!C105)</f>
        <v/>
      </c>
      <c r="D105" s="22">
        <f>IF(AND('CASH FLOW'!D105=0,BUDGET!D105=0),"",'CASH FLOW'!D105-BUDGET!D105)</f>
        <v/>
      </c>
      <c r="E105" s="22">
        <f>IF(AND('CASH FLOW'!E105=0,BUDGET!E105=0),"",'CASH FLOW'!E105-BUDGET!E105)</f>
        <v/>
      </c>
      <c r="F105" s="22">
        <f>IF(AND('CASH FLOW'!F105=0,BUDGET!F105=0),"",'CASH FLOW'!F105-BUDGET!F105)</f>
        <v/>
      </c>
      <c r="G105" s="22">
        <f>IF(AND('CASH FLOW'!G105=0,BUDGET!G105=0),"",'CASH FLOW'!G105-BUDGET!G105)</f>
        <v/>
      </c>
      <c r="H105" s="22">
        <f>IF(AND('CASH FLOW'!H105=0,BUDGET!H105=0),"",'CASH FLOW'!H105-BUDGET!H105)</f>
        <v/>
      </c>
      <c r="I105" s="22">
        <f>IF(AND('CASH FLOW'!I105=0,BUDGET!I105=0),"",'CASH FLOW'!I105-BUDGET!I105)</f>
        <v/>
      </c>
      <c r="J105" s="22">
        <f>IF(AND('CASH FLOW'!J105=0,BUDGET!J105=0),"",'CASH FLOW'!J105-BUDGET!J105)</f>
        <v/>
      </c>
      <c r="K105" s="22">
        <f>IF(AND('CASH FLOW'!K105=0,BUDGET!K105=0),"",'CASH FLOW'!K105-BUDGET!K105)</f>
        <v/>
      </c>
      <c r="L105" s="22">
        <f>IF(AND('CASH FLOW'!L105=0,BUDGET!L105=0),"",'CASH FLOW'!L105-BUDGET!L105)</f>
        <v/>
      </c>
      <c r="M105" s="22">
        <f>IF(AND('CASH FLOW'!M105=0,BUDGET!M105=0),"",'CASH FLOW'!M105-BUDGET!M105)</f>
        <v/>
      </c>
      <c r="N105" s="22">
        <f>IF(AND('CASH FLOW'!N105=0,BUDGET!N105=0),"",'CASH FLOW'!N105-BUDGET!N105)</f>
        <v/>
      </c>
      <c r="O105" s="22">
        <f>IF(AND('CASH FLOW'!O105=0,BUDGET!O105=0),"",'CASH FLOW'!O105-BUDGET!O105)</f>
        <v/>
      </c>
      <c r="Q105" s="23">
        <f>IF(BUDGET!O105=0,"",('CASH FLOW'!O105-BUDGET!O105)/ABS(BUDGET!O105))</f>
        <v/>
      </c>
    </row>
    <row r="106">
      <c r="A106" s="13">
        <f>'CASH FLOW'!A106</f>
        <v/>
      </c>
      <c r="B106" s="13">
        <f>'CASH FLOW'!B106</f>
        <v/>
      </c>
      <c r="C106" s="22">
        <f>IF(AND('CASH FLOW'!C106=0,BUDGET!C106=0),"",'CASH FLOW'!C106-BUDGET!C106)</f>
        <v/>
      </c>
      <c r="D106" s="22">
        <f>IF(AND('CASH FLOW'!D106=0,BUDGET!D106=0),"",'CASH FLOW'!D106-BUDGET!D106)</f>
        <v/>
      </c>
      <c r="E106" s="22">
        <f>IF(AND('CASH FLOW'!E106=0,BUDGET!E106=0),"",'CASH FLOW'!E106-BUDGET!E106)</f>
        <v/>
      </c>
      <c r="F106" s="22">
        <f>IF(AND('CASH FLOW'!F106=0,BUDGET!F106=0),"",'CASH FLOW'!F106-BUDGET!F106)</f>
        <v/>
      </c>
      <c r="G106" s="22">
        <f>IF(AND('CASH FLOW'!G106=0,BUDGET!G106=0),"",'CASH FLOW'!G106-BUDGET!G106)</f>
        <v/>
      </c>
      <c r="H106" s="22">
        <f>IF(AND('CASH FLOW'!H106=0,BUDGET!H106=0),"",'CASH FLOW'!H106-BUDGET!H106)</f>
        <v/>
      </c>
      <c r="I106" s="22">
        <f>IF(AND('CASH FLOW'!I106=0,BUDGET!I106=0),"",'CASH FLOW'!I106-BUDGET!I106)</f>
        <v/>
      </c>
      <c r="J106" s="22">
        <f>IF(AND('CASH FLOW'!J106=0,BUDGET!J106=0),"",'CASH FLOW'!J106-BUDGET!J106)</f>
        <v/>
      </c>
      <c r="K106" s="22">
        <f>IF(AND('CASH FLOW'!K106=0,BUDGET!K106=0),"",'CASH FLOW'!K106-BUDGET!K106)</f>
        <v/>
      </c>
      <c r="L106" s="22">
        <f>IF(AND('CASH FLOW'!L106=0,BUDGET!L106=0),"",'CASH FLOW'!L106-BUDGET!L106)</f>
        <v/>
      </c>
      <c r="M106" s="22">
        <f>IF(AND('CASH FLOW'!M106=0,BUDGET!M106=0),"",'CASH FLOW'!M106-BUDGET!M106)</f>
        <v/>
      </c>
      <c r="N106" s="22">
        <f>IF(AND('CASH FLOW'!N106=0,BUDGET!N106=0),"",'CASH FLOW'!N106-BUDGET!N106)</f>
        <v/>
      </c>
      <c r="O106" s="22">
        <f>IF(AND('CASH FLOW'!O106=0,BUDGET!O106=0),"",'CASH FLOW'!O106-BUDGET!O106)</f>
        <v/>
      </c>
      <c r="Q106" s="23">
        <f>IF(BUDGET!O106=0,"",('CASH FLOW'!O106-BUDGET!O106)/ABS(BUDGET!O106))</f>
        <v/>
      </c>
    </row>
    <row r="107">
      <c r="A107" s="13">
        <f>'CASH FLOW'!A107</f>
        <v/>
      </c>
      <c r="B107" s="13">
        <f>'CASH FLOW'!B107</f>
        <v/>
      </c>
      <c r="C107" s="22">
        <f>IF(AND('CASH FLOW'!C107=0,BUDGET!C107=0),"",'CASH FLOW'!C107-BUDGET!C107)</f>
        <v/>
      </c>
      <c r="D107" s="22">
        <f>IF(AND('CASH FLOW'!D107=0,BUDGET!D107=0),"",'CASH FLOW'!D107-BUDGET!D107)</f>
        <v/>
      </c>
      <c r="E107" s="22">
        <f>IF(AND('CASH FLOW'!E107=0,BUDGET!E107=0),"",'CASH FLOW'!E107-BUDGET!E107)</f>
        <v/>
      </c>
      <c r="F107" s="22">
        <f>IF(AND('CASH FLOW'!F107=0,BUDGET!F107=0),"",'CASH FLOW'!F107-BUDGET!F107)</f>
        <v/>
      </c>
      <c r="G107" s="22">
        <f>IF(AND('CASH FLOW'!G107=0,BUDGET!G107=0),"",'CASH FLOW'!G107-BUDGET!G107)</f>
        <v/>
      </c>
      <c r="H107" s="22">
        <f>IF(AND('CASH FLOW'!H107=0,BUDGET!H107=0),"",'CASH FLOW'!H107-BUDGET!H107)</f>
        <v/>
      </c>
      <c r="I107" s="22">
        <f>IF(AND('CASH FLOW'!I107=0,BUDGET!I107=0),"",'CASH FLOW'!I107-BUDGET!I107)</f>
        <v/>
      </c>
      <c r="J107" s="22">
        <f>IF(AND('CASH FLOW'!J107=0,BUDGET!J107=0),"",'CASH FLOW'!J107-BUDGET!J107)</f>
        <v/>
      </c>
      <c r="K107" s="22">
        <f>IF(AND('CASH FLOW'!K107=0,BUDGET!K107=0),"",'CASH FLOW'!K107-BUDGET!K107)</f>
        <v/>
      </c>
      <c r="L107" s="22">
        <f>IF(AND('CASH FLOW'!L107=0,BUDGET!L107=0),"",'CASH FLOW'!L107-BUDGET!L107)</f>
        <v/>
      </c>
      <c r="M107" s="22">
        <f>IF(AND('CASH FLOW'!M107=0,BUDGET!M107=0),"",'CASH FLOW'!M107-BUDGET!M107)</f>
        <v/>
      </c>
      <c r="N107" s="22">
        <f>IF(AND('CASH FLOW'!N107=0,BUDGET!N107=0),"",'CASH FLOW'!N107-BUDGET!N107)</f>
        <v/>
      </c>
      <c r="O107" s="22">
        <f>IF(AND('CASH FLOW'!O107=0,BUDGET!O107=0),"",'CASH FLOW'!O107-BUDGET!O107)</f>
        <v/>
      </c>
      <c r="Q107" s="23">
        <f>IF(BUDGET!O107=0,"",('CASH FLOW'!O107-BUDGET!O107)/ABS(BUDGET!O107))</f>
        <v/>
      </c>
    </row>
    <row r="108">
      <c r="A108" s="13">
        <f>'CASH FLOW'!A108</f>
        <v/>
      </c>
      <c r="B108" s="13">
        <f>'CASH FLOW'!B108</f>
        <v/>
      </c>
      <c r="C108" s="22">
        <f>IF(AND('CASH FLOW'!C108=0,BUDGET!C108=0),"",'CASH FLOW'!C108-BUDGET!C108)</f>
        <v/>
      </c>
      <c r="D108" s="22">
        <f>IF(AND('CASH FLOW'!D108=0,BUDGET!D108=0),"",'CASH FLOW'!D108-BUDGET!D108)</f>
        <v/>
      </c>
      <c r="E108" s="22">
        <f>IF(AND('CASH FLOW'!E108=0,BUDGET!E108=0),"",'CASH FLOW'!E108-BUDGET!E108)</f>
        <v/>
      </c>
      <c r="F108" s="22">
        <f>IF(AND('CASH FLOW'!F108=0,BUDGET!F108=0),"",'CASH FLOW'!F108-BUDGET!F108)</f>
        <v/>
      </c>
      <c r="G108" s="22">
        <f>IF(AND('CASH FLOW'!G108=0,BUDGET!G108=0),"",'CASH FLOW'!G108-BUDGET!G108)</f>
        <v/>
      </c>
      <c r="H108" s="22">
        <f>IF(AND('CASH FLOW'!H108=0,BUDGET!H108=0),"",'CASH FLOW'!H108-BUDGET!H108)</f>
        <v/>
      </c>
      <c r="I108" s="22">
        <f>IF(AND('CASH FLOW'!I108=0,BUDGET!I108=0),"",'CASH FLOW'!I108-BUDGET!I108)</f>
        <v/>
      </c>
      <c r="J108" s="22">
        <f>IF(AND('CASH FLOW'!J108=0,BUDGET!J108=0),"",'CASH FLOW'!J108-BUDGET!J108)</f>
        <v/>
      </c>
      <c r="K108" s="22">
        <f>IF(AND('CASH FLOW'!K108=0,BUDGET!K108=0),"",'CASH FLOW'!K108-BUDGET!K108)</f>
        <v/>
      </c>
      <c r="L108" s="22">
        <f>IF(AND('CASH FLOW'!L108=0,BUDGET!L108=0),"",'CASH FLOW'!L108-BUDGET!L108)</f>
        <v/>
      </c>
      <c r="M108" s="22">
        <f>IF(AND('CASH FLOW'!M108=0,BUDGET!M108=0),"",'CASH FLOW'!M108-BUDGET!M108)</f>
        <v/>
      </c>
      <c r="N108" s="22">
        <f>IF(AND('CASH FLOW'!N108=0,BUDGET!N108=0),"",'CASH FLOW'!N108-BUDGET!N108)</f>
        <v/>
      </c>
      <c r="O108" s="22">
        <f>IF(AND('CASH FLOW'!O108=0,BUDGET!O108=0),"",'CASH FLOW'!O108-BUDGET!O108)</f>
        <v/>
      </c>
      <c r="Q108" s="23">
        <f>IF(BUDGET!O108=0,"",('CASH FLOW'!O108-BUDGET!O108)/ABS(BUDGET!O108))</f>
        <v/>
      </c>
    </row>
    <row r="109">
      <c r="A109" s="13">
        <f>'CASH FLOW'!A109</f>
        <v/>
      </c>
      <c r="B109" s="13">
        <f>'CASH FLOW'!B109</f>
        <v/>
      </c>
      <c r="C109" s="22">
        <f>IF(AND('CASH FLOW'!C109=0,BUDGET!C109=0),"",'CASH FLOW'!C109-BUDGET!C109)</f>
        <v/>
      </c>
      <c r="D109" s="22">
        <f>IF(AND('CASH FLOW'!D109=0,BUDGET!D109=0),"",'CASH FLOW'!D109-BUDGET!D109)</f>
        <v/>
      </c>
      <c r="E109" s="22">
        <f>IF(AND('CASH FLOW'!E109=0,BUDGET!E109=0),"",'CASH FLOW'!E109-BUDGET!E109)</f>
        <v/>
      </c>
      <c r="F109" s="22">
        <f>IF(AND('CASH FLOW'!F109=0,BUDGET!F109=0),"",'CASH FLOW'!F109-BUDGET!F109)</f>
        <v/>
      </c>
      <c r="G109" s="22">
        <f>IF(AND('CASH FLOW'!G109=0,BUDGET!G109=0),"",'CASH FLOW'!G109-BUDGET!G109)</f>
        <v/>
      </c>
      <c r="H109" s="22">
        <f>IF(AND('CASH FLOW'!H109=0,BUDGET!H109=0),"",'CASH FLOW'!H109-BUDGET!H109)</f>
        <v/>
      </c>
      <c r="I109" s="22">
        <f>IF(AND('CASH FLOW'!I109=0,BUDGET!I109=0),"",'CASH FLOW'!I109-BUDGET!I109)</f>
        <v/>
      </c>
      <c r="J109" s="22">
        <f>IF(AND('CASH FLOW'!J109=0,BUDGET!J109=0),"",'CASH FLOW'!J109-BUDGET!J109)</f>
        <v/>
      </c>
      <c r="K109" s="22">
        <f>IF(AND('CASH FLOW'!K109=0,BUDGET!K109=0),"",'CASH FLOW'!K109-BUDGET!K109)</f>
        <v/>
      </c>
      <c r="L109" s="22">
        <f>IF(AND('CASH FLOW'!L109=0,BUDGET!L109=0),"",'CASH FLOW'!L109-BUDGET!L109)</f>
        <v/>
      </c>
      <c r="M109" s="22">
        <f>IF(AND('CASH FLOW'!M109=0,BUDGET!M109=0),"",'CASH FLOW'!M109-BUDGET!M109)</f>
        <v/>
      </c>
      <c r="N109" s="22">
        <f>IF(AND('CASH FLOW'!N109=0,BUDGET!N109=0),"",'CASH FLOW'!N109-BUDGET!N109)</f>
        <v/>
      </c>
      <c r="O109" s="22">
        <f>IF(AND('CASH FLOW'!O109=0,BUDGET!O109=0),"",'CASH FLOW'!O109-BUDGET!O109)</f>
        <v/>
      </c>
      <c r="Q109" s="23">
        <f>IF(BUDGET!O109=0,"",('CASH FLOW'!O109-BUDGET!O109)/ABS(BUDGET!O109))</f>
        <v/>
      </c>
    </row>
    <row r="110">
      <c r="A110" s="13">
        <f>'CASH FLOW'!A110</f>
        <v/>
      </c>
      <c r="B110" s="13">
        <f>'CASH FLOW'!B110</f>
        <v/>
      </c>
      <c r="C110" s="22">
        <f>IF(AND('CASH FLOW'!C110=0,BUDGET!C110=0),"",'CASH FLOW'!C110-BUDGET!C110)</f>
        <v/>
      </c>
      <c r="D110" s="22">
        <f>IF(AND('CASH FLOW'!D110=0,BUDGET!D110=0),"",'CASH FLOW'!D110-BUDGET!D110)</f>
        <v/>
      </c>
      <c r="E110" s="22">
        <f>IF(AND('CASH FLOW'!E110=0,BUDGET!E110=0),"",'CASH FLOW'!E110-BUDGET!E110)</f>
        <v/>
      </c>
      <c r="F110" s="22">
        <f>IF(AND('CASH FLOW'!F110=0,BUDGET!F110=0),"",'CASH FLOW'!F110-BUDGET!F110)</f>
        <v/>
      </c>
      <c r="G110" s="22">
        <f>IF(AND('CASH FLOW'!G110=0,BUDGET!G110=0),"",'CASH FLOW'!G110-BUDGET!G110)</f>
        <v/>
      </c>
      <c r="H110" s="22">
        <f>IF(AND('CASH FLOW'!H110=0,BUDGET!H110=0),"",'CASH FLOW'!H110-BUDGET!H110)</f>
        <v/>
      </c>
      <c r="I110" s="22">
        <f>IF(AND('CASH FLOW'!I110=0,BUDGET!I110=0),"",'CASH FLOW'!I110-BUDGET!I110)</f>
        <v/>
      </c>
      <c r="J110" s="22">
        <f>IF(AND('CASH FLOW'!J110=0,BUDGET!J110=0),"",'CASH FLOW'!J110-BUDGET!J110)</f>
        <v/>
      </c>
      <c r="K110" s="22">
        <f>IF(AND('CASH FLOW'!K110=0,BUDGET!K110=0),"",'CASH FLOW'!K110-BUDGET!K110)</f>
        <v/>
      </c>
      <c r="L110" s="22">
        <f>IF(AND('CASH FLOW'!L110=0,BUDGET!L110=0),"",'CASH FLOW'!L110-BUDGET!L110)</f>
        <v/>
      </c>
      <c r="M110" s="22">
        <f>IF(AND('CASH FLOW'!M110=0,BUDGET!M110=0),"",'CASH FLOW'!M110-BUDGET!M110)</f>
        <v/>
      </c>
      <c r="N110" s="22">
        <f>IF(AND('CASH FLOW'!N110=0,BUDGET!N110=0),"",'CASH FLOW'!N110-BUDGET!N110)</f>
        <v/>
      </c>
      <c r="O110" s="22">
        <f>IF(AND('CASH FLOW'!O110=0,BUDGET!O110=0),"",'CASH FLOW'!O110-BUDGET!O110)</f>
        <v/>
      </c>
      <c r="Q110" s="23">
        <f>IF(BUDGET!O110=0,"",('CASH FLOW'!O110-BUDGET!O110)/ABS(BUDGET!O110))</f>
        <v/>
      </c>
    </row>
    <row r="111">
      <c r="A111" s="13">
        <f>'CASH FLOW'!A111</f>
        <v/>
      </c>
      <c r="B111" s="13">
        <f>'CASH FLOW'!B111</f>
        <v/>
      </c>
      <c r="C111" s="22">
        <f>IF(AND('CASH FLOW'!C111=0,BUDGET!C111=0),"",'CASH FLOW'!C111-BUDGET!C111)</f>
        <v/>
      </c>
      <c r="D111" s="22">
        <f>IF(AND('CASH FLOW'!D111=0,BUDGET!D111=0),"",'CASH FLOW'!D111-BUDGET!D111)</f>
        <v/>
      </c>
      <c r="E111" s="22">
        <f>IF(AND('CASH FLOW'!E111=0,BUDGET!E111=0),"",'CASH FLOW'!E111-BUDGET!E111)</f>
        <v/>
      </c>
      <c r="F111" s="22">
        <f>IF(AND('CASH FLOW'!F111=0,BUDGET!F111=0),"",'CASH FLOW'!F111-BUDGET!F111)</f>
        <v/>
      </c>
      <c r="G111" s="22">
        <f>IF(AND('CASH FLOW'!G111=0,BUDGET!G111=0),"",'CASH FLOW'!G111-BUDGET!G111)</f>
        <v/>
      </c>
      <c r="H111" s="22">
        <f>IF(AND('CASH FLOW'!H111=0,BUDGET!H111=0),"",'CASH FLOW'!H111-BUDGET!H111)</f>
        <v/>
      </c>
      <c r="I111" s="22">
        <f>IF(AND('CASH FLOW'!I111=0,BUDGET!I111=0),"",'CASH FLOW'!I111-BUDGET!I111)</f>
        <v/>
      </c>
      <c r="J111" s="22">
        <f>IF(AND('CASH FLOW'!J111=0,BUDGET!J111=0),"",'CASH FLOW'!J111-BUDGET!J111)</f>
        <v/>
      </c>
      <c r="K111" s="22">
        <f>IF(AND('CASH FLOW'!K111=0,BUDGET!K111=0),"",'CASH FLOW'!K111-BUDGET!K111)</f>
        <v/>
      </c>
      <c r="L111" s="22">
        <f>IF(AND('CASH FLOW'!L111=0,BUDGET!L111=0),"",'CASH FLOW'!L111-BUDGET!L111)</f>
        <v/>
      </c>
      <c r="M111" s="22">
        <f>IF(AND('CASH FLOW'!M111=0,BUDGET!M111=0),"",'CASH FLOW'!M111-BUDGET!M111)</f>
        <v/>
      </c>
      <c r="N111" s="22">
        <f>IF(AND('CASH FLOW'!N111=0,BUDGET!N111=0),"",'CASH FLOW'!N111-BUDGET!N111)</f>
        <v/>
      </c>
      <c r="O111" s="22">
        <f>IF(AND('CASH FLOW'!O111=0,BUDGET!O111=0),"",'CASH FLOW'!O111-BUDGET!O111)</f>
        <v/>
      </c>
      <c r="Q111" s="23">
        <f>IF(BUDGET!O111=0,"",('CASH FLOW'!O111-BUDGET!O111)/ABS(BUDGET!O111))</f>
        <v/>
      </c>
    </row>
    <row r="112">
      <c r="A112" s="13">
        <f>'CASH FLOW'!A112</f>
        <v/>
      </c>
      <c r="B112" s="13">
        <f>'CASH FLOW'!B112</f>
        <v/>
      </c>
      <c r="C112" s="22">
        <f>IF(AND('CASH FLOW'!C112=0,BUDGET!C112=0),"",'CASH FLOW'!C112-BUDGET!C112)</f>
        <v/>
      </c>
      <c r="D112" s="22">
        <f>IF(AND('CASH FLOW'!D112=0,BUDGET!D112=0),"",'CASH FLOW'!D112-BUDGET!D112)</f>
        <v/>
      </c>
      <c r="E112" s="22">
        <f>IF(AND('CASH FLOW'!E112=0,BUDGET!E112=0),"",'CASH FLOW'!E112-BUDGET!E112)</f>
        <v/>
      </c>
      <c r="F112" s="22">
        <f>IF(AND('CASH FLOW'!F112=0,BUDGET!F112=0),"",'CASH FLOW'!F112-BUDGET!F112)</f>
        <v/>
      </c>
      <c r="G112" s="22">
        <f>IF(AND('CASH FLOW'!G112=0,BUDGET!G112=0),"",'CASH FLOW'!G112-BUDGET!G112)</f>
        <v/>
      </c>
      <c r="H112" s="22">
        <f>IF(AND('CASH FLOW'!H112=0,BUDGET!H112=0),"",'CASH FLOW'!H112-BUDGET!H112)</f>
        <v/>
      </c>
      <c r="I112" s="22">
        <f>IF(AND('CASH FLOW'!I112=0,BUDGET!I112=0),"",'CASH FLOW'!I112-BUDGET!I112)</f>
        <v/>
      </c>
      <c r="J112" s="22">
        <f>IF(AND('CASH FLOW'!J112=0,BUDGET!J112=0),"",'CASH FLOW'!J112-BUDGET!J112)</f>
        <v/>
      </c>
      <c r="K112" s="22">
        <f>IF(AND('CASH FLOW'!K112=0,BUDGET!K112=0),"",'CASH FLOW'!K112-BUDGET!K112)</f>
        <v/>
      </c>
      <c r="L112" s="22">
        <f>IF(AND('CASH FLOW'!L112=0,BUDGET!L112=0),"",'CASH FLOW'!L112-BUDGET!L112)</f>
        <v/>
      </c>
      <c r="M112" s="22">
        <f>IF(AND('CASH FLOW'!M112=0,BUDGET!M112=0),"",'CASH FLOW'!M112-BUDGET!M112)</f>
        <v/>
      </c>
      <c r="N112" s="22">
        <f>IF(AND('CASH FLOW'!N112=0,BUDGET!N112=0),"",'CASH FLOW'!N112-BUDGET!N112)</f>
        <v/>
      </c>
      <c r="O112" s="22">
        <f>IF(AND('CASH FLOW'!O112=0,BUDGET!O112=0),"",'CASH FLOW'!O112-BUDGET!O112)</f>
        <v/>
      </c>
      <c r="Q112" s="23">
        <f>IF(BUDGET!O112=0,"",('CASH FLOW'!O112-BUDGET!O112)/ABS(BUDGET!O112))</f>
        <v/>
      </c>
    </row>
    <row r="113">
      <c r="A113" s="13">
        <f>'CASH FLOW'!A113</f>
        <v/>
      </c>
      <c r="B113" s="13">
        <f>'CASH FLOW'!B113</f>
        <v/>
      </c>
      <c r="C113" s="22">
        <f>IF(AND('CASH FLOW'!C113=0,BUDGET!C113=0),"",'CASH FLOW'!C113-BUDGET!C113)</f>
        <v/>
      </c>
      <c r="D113" s="22">
        <f>IF(AND('CASH FLOW'!D113=0,BUDGET!D113=0),"",'CASH FLOW'!D113-BUDGET!D113)</f>
        <v/>
      </c>
      <c r="E113" s="22">
        <f>IF(AND('CASH FLOW'!E113=0,BUDGET!E113=0),"",'CASH FLOW'!E113-BUDGET!E113)</f>
        <v/>
      </c>
      <c r="F113" s="22">
        <f>IF(AND('CASH FLOW'!F113=0,BUDGET!F113=0),"",'CASH FLOW'!F113-BUDGET!F113)</f>
        <v/>
      </c>
      <c r="G113" s="22">
        <f>IF(AND('CASH FLOW'!G113=0,BUDGET!G113=0),"",'CASH FLOW'!G113-BUDGET!G113)</f>
        <v/>
      </c>
      <c r="H113" s="22">
        <f>IF(AND('CASH FLOW'!H113=0,BUDGET!H113=0),"",'CASH FLOW'!H113-BUDGET!H113)</f>
        <v/>
      </c>
      <c r="I113" s="22">
        <f>IF(AND('CASH FLOW'!I113=0,BUDGET!I113=0),"",'CASH FLOW'!I113-BUDGET!I113)</f>
        <v/>
      </c>
      <c r="J113" s="22">
        <f>IF(AND('CASH FLOW'!J113=0,BUDGET!J113=0),"",'CASH FLOW'!J113-BUDGET!J113)</f>
        <v/>
      </c>
      <c r="K113" s="22">
        <f>IF(AND('CASH FLOW'!K113=0,BUDGET!K113=0),"",'CASH FLOW'!K113-BUDGET!K113)</f>
        <v/>
      </c>
      <c r="L113" s="22">
        <f>IF(AND('CASH FLOW'!L113=0,BUDGET!L113=0),"",'CASH FLOW'!L113-BUDGET!L113)</f>
        <v/>
      </c>
      <c r="M113" s="22">
        <f>IF(AND('CASH FLOW'!M113=0,BUDGET!M113=0),"",'CASH FLOW'!M113-BUDGET!M113)</f>
        <v/>
      </c>
      <c r="N113" s="22">
        <f>IF(AND('CASH FLOW'!N113=0,BUDGET!N113=0),"",'CASH FLOW'!N113-BUDGET!N113)</f>
        <v/>
      </c>
      <c r="O113" s="22">
        <f>IF(AND('CASH FLOW'!O113=0,BUDGET!O113=0),"",'CASH FLOW'!O113-BUDGET!O113)</f>
        <v/>
      </c>
      <c r="Q113" s="23">
        <f>IF(BUDGET!O113=0,"",('CASH FLOW'!O113-BUDGET!O113)/ABS(BUDGET!O113))</f>
        <v/>
      </c>
    </row>
    <row r="114">
      <c r="A114" s="13">
        <f>'CASH FLOW'!A114</f>
        <v/>
      </c>
      <c r="B114" s="13">
        <f>'CASH FLOW'!B114</f>
        <v/>
      </c>
      <c r="C114" s="22">
        <f>IF(AND('CASH FLOW'!C114=0,BUDGET!C114=0),"",'CASH FLOW'!C114-BUDGET!C114)</f>
        <v/>
      </c>
      <c r="D114" s="22">
        <f>IF(AND('CASH FLOW'!D114=0,BUDGET!D114=0),"",'CASH FLOW'!D114-BUDGET!D114)</f>
        <v/>
      </c>
      <c r="E114" s="22">
        <f>IF(AND('CASH FLOW'!E114=0,BUDGET!E114=0),"",'CASH FLOW'!E114-BUDGET!E114)</f>
        <v/>
      </c>
      <c r="F114" s="22">
        <f>IF(AND('CASH FLOW'!F114=0,BUDGET!F114=0),"",'CASH FLOW'!F114-BUDGET!F114)</f>
        <v/>
      </c>
      <c r="G114" s="22">
        <f>IF(AND('CASH FLOW'!G114=0,BUDGET!G114=0),"",'CASH FLOW'!G114-BUDGET!G114)</f>
        <v/>
      </c>
      <c r="H114" s="22">
        <f>IF(AND('CASH FLOW'!H114=0,BUDGET!H114=0),"",'CASH FLOW'!H114-BUDGET!H114)</f>
        <v/>
      </c>
      <c r="I114" s="22">
        <f>IF(AND('CASH FLOW'!I114=0,BUDGET!I114=0),"",'CASH FLOW'!I114-BUDGET!I114)</f>
        <v/>
      </c>
      <c r="J114" s="22">
        <f>IF(AND('CASH FLOW'!J114=0,BUDGET!J114=0),"",'CASH FLOW'!J114-BUDGET!J114)</f>
        <v/>
      </c>
      <c r="K114" s="22">
        <f>IF(AND('CASH FLOW'!K114=0,BUDGET!K114=0),"",'CASH FLOW'!K114-BUDGET!K114)</f>
        <v/>
      </c>
      <c r="L114" s="22">
        <f>IF(AND('CASH FLOW'!L114=0,BUDGET!L114=0),"",'CASH FLOW'!L114-BUDGET!L114)</f>
        <v/>
      </c>
      <c r="M114" s="22">
        <f>IF(AND('CASH FLOW'!M114=0,BUDGET!M114=0),"",'CASH FLOW'!M114-BUDGET!M114)</f>
        <v/>
      </c>
      <c r="N114" s="22">
        <f>IF(AND('CASH FLOW'!N114=0,BUDGET!N114=0),"",'CASH FLOW'!N114-BUDGET!N114)</f>
        <v/>
      </c>
      <c r="O114" s="22">
        <f>IF(AND('CASH FLOW'!O114=0,BUDGET!O114=0),"",'CASH FLOW'!O114-BUDGET!O114)</f>
        <v/>
      </c>
      <c r="Q114" s="23">
        <f>IF(BUDGET!O114=0,"",('CASH FLOW'!O114-BUDGET!O114)/ABS(BUDGET!O114))</f>
        <v/>
      </c>
    </row>
    <row r="115">
      <c r="A115" s="13">
        <f>'CASH FLOW'!A115</f>
        <v/>
      </c>
      <c r="B115" s="13">
        <f>'CASH FLOW'!B115</f>
        <v/>
      </c>
      <c r="C115" s="22">
        <f>IF(AND('CASH FLOW'!C115=0,BUDGET!C115=0),"",'CASH FLOW'!C115-BUDGET!C115)</f>
        <v/>
      </c>
      <c r="D115" s="22">
        <f>IF(AND('CASH FLOW'!D115=0,BUDGET!D115=0),"",'CASH FLOW'!D115-BUDGET!D115)</f>
        <v/>
      </c>
      <c r="E115" s="22">
        <f>IF(AND('CASH FLOW'!E115=0,BUDGET!E115=0),"",'CASH FLOW'!E115-BUDGET!E115)</f>
        <v/>
      </c>
      <c r="F115" s="22">
        <f>IF(AND('CASH FLOW'!F115=0,BUDGET!F115=0),"",'CASH FLOW'!F115-BUDGET!F115)</f>
        <v/>
      </c>
      <c r="G115" s="22">
        <f>IF(AND('CASH FLOW'!G115=0,BUDGET!G115=0),"",'CASH FLOW'!G115-BUDGET!G115)</f>
        <v/>
      </c>
      <c r="H115" s="22">
        <f>IF(AND('CASH FLOW'!H115=0,BUDGET!H115=0),"",'CASH FLOW'!H115-BUDGET!H115)</f>
        <v/>
      </c>
      <c r="I115" s="22">
        <f>IF(AND('CASH FLOW'!I115=0,BUDGET!I115=0),"",'CASH FLOW'!I115-BUDGET!I115)</f>
        <v/>
      </c>
      <c r="J115" s="22">
        <f>IF(AND('CASH FLOW'!J115=0,BUDGET!J115=0),"",'CASH FLOW'!J115-BUDGET!J115)</f>
        <v/>
      </c>
      <c r="K115" s="22">
        <f>IF(AND('CASH FLOW'!K115=0,BUDGET!K115=0),"",'CASH FLOW'!K115-BUDGET!K115)</f>
        <v/>
      </c>
      <c r="L115" s="22">
        <f>IF(AND('CASH FLOW'!L115=0,BUDGET!L115=0),"",'CASH FLOW'!L115-BUDGET!L115)</f>
        <v/>
      </c>
      <c r="M115" s="22">
        <f>IF(AND('CASH FLOW'!M115=0,BUDGET!M115=0),"",'CASH FLOW'!M115-BUDGET!M115)</f>
        <v/>
      </c>
      <c r="N115" s="22">
        <f>IF(AND('CASH FLOW'!N115=0,BUDGET!N115=0),"",'CASH FLOW'!N115-BUDGET!N115)</f>
        <v/>
      </c>
      <c r="O115" s="22">
        <f>IF(AND('CASH FLOW'!O115=0,BUDGET!O115=0),"",'CASH FLOW'!O115-BUDGET!O115)</f>
        <v/>
      </c>
      <c r="Q115" s="23">
        <f>IF(BUDGET!O115=0,"",('CASH FLOW'!O115-BUDGET!O115)/ABS(BUDGET!O115))</f>
        <v/>
      </c>
    </row>
    <row r="116">
      <c r="A116" s="13">
        <f>'CASH FLOW'!A116</f>
        <v/>
      </c>
      <c r="B116" s="13">
        <f>'CASH FLOW'!B116</f>
        <v/>
      </c>
      <c r="C116" s="22">
        <f>IF(AND('CASH FLOW'!C116=0,BUDGET!C116=0),"",'CASH FLOW'!C116-BUDGET!C116)</f>
        <v/>
      </c>
      <c r="D116" s="22">
        <f>IF(AND('CASH FLOW'!D116=0,BUDGET!D116=0),"",'CASH FLOW'!D116-BUDGET!D116)</f>
        <v/>
      </c>
      <c r="E116" s="22">
        <f>IF(AND('CASH FLOW'!E116=0,BUDGET!E116=0),"",'CASH FLOW'!E116-BUDGET!E116)</f>
        <v/>
      </c>
      <c r="F116" s="22">
        <f>IF(AND('CASH FLOW'!F116=0,BUDGET!F116=0),"",'CASH FLOW'!F116-BUDGET!F116)</f>
        <v/>
      </c>
      <c r="G116" s="22">
        <f>IF(AND('CASH FLOW'!G116=0,BUDGET!G116=0),"",'CASH FLOW'!G116-BUDGET!G116)</f>
        <v/>
      </c>
      <c r="H116" s="22">
        <f>IF(AND('CASH FLOW'!H116=0,BUDGET!H116=0),"",'CASH FLOW'!H116-BUDGET!H116)</f>
        <v/>
      </c>
      <c r="I116" s="22">
        <f>IF(AND('CASH FLOW'!I116=0,BUDGET!I116=0),"",'CASH FLOW'!I116-BUDGET!I116)</f>
        <v/>
      </c>
      <c r="J116" s="22">
        <f>IF(AND('CASH FLOW'!J116=0,BUDGET!J116=0),"",'CASH FLOW'!J116-BUDGET!J116)</f>
        <v/>
      </c>
      <c r="K116" s="22">
        <f>IF(AND('CASH FLOW'!K116=0,BUDGET!K116=0),"",'CASH FLOW'!K116-BUDGET!K116)</f>
        <v/>
      </c>
      <c r="L116" s="22">
        <f>IF(AND('CASH FLOW'!L116=0,BUDGET!L116=0),"",'CASH FLOW'!L116-BUDGET!L116)</f>
        <v/>
      </c>
      <c r="M116" s="22">
        <f>IF(AND('CASH FLOW'!M116=0,BUDGET!M116=0),"",'CASH FLOW'!M116-BUDGET!M116)</f>
        <v/>
      </c>
      <c r="N116" s="22">
        <f>IF(AND('CASH FLOW'!N116=0,BUDGET!N116=0),"",'CASH FLOW'!N116-BUDGET!N116)</f>
        <v/>
      </c>
      <c r="O116" s="22">
        <f>IF(AND('CASH FLOW'!O116=0,BUDGET!O116=0),"",'CASH FLOW'!O116-BUDGET!O116)</f>
        <v/>
      </c>
      <c r="Q116" s="23">
        <f>IF(BUDGET!O116=0,"",('CASH FLOW'!O116-BUDGET!O116)/ABS(BUDGET!O116))</f>
        <v/>
      </c>
    </row>
    <row r="117">
      <c r="A117" s="13">
        <f>'CASH FLOW'!A117</f>
        <v/>
      </c>
      <c r="B117" s="13">
        <f>'CASH FLOW'!B117</f>
        <v/>
      </c>
      <c r="C117" s="22">
        <f>IF(AND('CASH FLOW'!C117=0,BUDGET!C117=0),"",'CASH FLOW'!C117-BUDGET!C117)</f>
        <v/>
      </c>
      <c r="D117" s="22">
        <f>IF(AND('CASH FLOW'!D117=0,BUDGET!D117=0),"",'CASH FLOW'!D117-BUDGET!D117)</f>
        <v/>
      </c>
      <c r="E117" s="22">
        <f>IF(AND('CASH FLOW'!E117=0,BUDGET!E117=0),"",'CASH FLOW'!E117-BUDGET!E117)</f>
        <v/>
      </c>
      <c r="F117" s="22">
        <f>IF(AND('CASH FLOW'!F117=0,BUDGET!F117=0),"",'CASH FLOW'!F117-BUDGET!F117)</f>
        <v/>
      </c>
      <c r="G117" s="22">
        <f>IF(AND('CASH FLOW'!G117=0,BUDGET!G117=0),"",'CASH FLOW'!G117-BUDGET!G117)</f>
        <v/>
      </c>
      <c r="H117" s="22">
        <f>IF(AND('CASH FLOW'!H117=0,BUDGET!H117=0),"",'CASH FLOW'!H117-BUDGET!H117)</f>
        <v/>
      </c>
      <c r="I117" s="22">
        <f>IF(AND('CASH FLOW'!I117=0,BUDGET!I117=0),"",'CASH FLOW'!I117-BUDGET!I117)</f>
        <v/>
      </c>
      <c r="J117" s="22">
        <f>IF(AND('CASH FLOW'!J117=0,BUDGET!J117=0),"",'CASH FLOW'!J117-BUDGET!J117)</f>
        <v/>
      </c>
      <c r="K117" s="22">
        <f>IF(AND('CASH FLOW'!K117=0,BUDGET!K117=0),"",'CASH FLOW'!K117-BUDGET!K117)</f>
        <v/>
      </c>
      <c r="L117" s="22">
        <f>IF(AND('CASH FLOW'!L117=0,BUDGET!L117=0),"",'CASH FLOW'!L117-BUDGET!L117)</f>
        <v/>
      </c>
      <c r="M117" s="22">
        <f>IF(AND('CASH FLOW'!M117=0,BUDGET!M117=0),"",'CASH FLOW'!M117-BUDGET!M117)</f>
        <v/>
      </c>
      <c r="N117" s="22">
        <f>IF(AND('CASH FLOW'!N117=0,BUDGET!N117=0),"",'CASH FLOW'!N117-BUDGET!N117)</f>
        <v/>
      </c>
      <c r="O117" s="22">
        <f>IF(AND('CASH FLOW'!O117=0,BUDGET!O117=0),"",'CASH FLOW'!O117-BUDGET!O117)</f>
        <v/>
      </c>
      <c r="Q117" s="23">
        <f>IF(BUDGET!O117=0,"",('CASH FLOW'!O117-BUDGET!O117)/ABS(BUDGET!O117))</f>
        <v/>
      </c>
    </row>
    <row r="118">
      <c r="A118" s="13">
        <f>'CASH FLOW'!A118</f>
        <v/>
      </c>
      <c r="B118" s="13">
        <f>'CASH FLOW'!B118</f>
        <v/>
      </c>
      <c r="C118" s="22">
        <f>IF(AND('CASH FLOW'!C118=0,BUDGET!C118=0),"",'CASH FLOW'!C118-BUDGET!C118)</f>
        <v/>
      </c>
      <c r="D118" s="22">
        <f>IF(AND('CASH FLOW'!D118=0,BUDGET!D118=0),"",'CASH FLOW'!D118-BUDGET!D118)</f>
        <v/>
      </c>
      <c r="E118" s="22">
        <f>IF(AND('CASH FLOW'!E118=0,BUDGET!E118=0),"",'CASH FLOW'!E118-BUDGET!E118)</f>
        <v/>
      </c>
      <c r="F118" s="22">
        <f>IF(AND('CASH FLOW'!F118=0,BUDGET!F118=0),"",'CASH FLOW'!F118-BUDGET!F118)</f>
        <v/>
      </c>
      <c r="G118" s="22">
        <f>IF(AND('CASH FLOW'!G118=0,BUDGET!G118=0),"",'CASH FLOW'!G118-BUDGET!G118)</f>
        <v/>
      </c>
      <c r="H118" s="22">
        <f>IF(AND('CASH FLOW'!H118=0,BUDGET!H118=0),"",'CASH FLOW'!H118-BUDGET!H118)</f>
        <v/>
      </c>
      <c r="I118" s="22">
        <f>IF(AND('CASH FLOW'!I118=0,BUDGET!I118=0),"",'CASH FLOW'!I118-BUDGET!I118)</f>
        <v/>
      </c>
      <c r="J118" s="22">
        <f>IF(AND('CASH FLOW'!J118=0,BUDGET!J118=0),"",'CASH FLOW'!J118-BUDGET!J118)</f>
        <v/>
      </c>
      <c r="K118" s="22">
        <f>IF(AND('CASH FLOW'!K118=0,BUDGET!K118=0),"",'CASH FLOW'!K118-BUDGET!K118)</f>
        <v/>
      </c>
      <c r="L118" s="22">
        <f>IF(AND('CASH FLOW'!L118=0,BUDGET!L118=0),"",'CASH FLOW'!L118-BUDGET!L118)</f>
        <v/>
      </c>
      <c r="M118" s="22">
        <f>IF(AND('CASH FLOW'!M118=0,BUDGET!M118=0),"",'CASH FLOW'!M118-BUDGET!M118)</f>
        <v/>
      </c>
      <c r="N118" s="22">
        <f>IF(AND('CASH FLOW'!N118=0,BUDGET!N118=0),"",'CASH FLOW'!N118-BUDGET!N118)</f>
        <v/>
      </c>
      <c r="O118" s="22">
        <f>IF(AND('CASH FLOW'!O118=0,BUDGET!O118=0),"",'CASH FLOW'!O118-BUDGET!O118)</f>
        <v/>
      </c>
      <c r="Q118" s="23">
        <f>IF(BUDGET!O118=0,"",('CASH FLOW'!O118-BUDGET!O118)/ABS(BUDGET!O118))</f>
        <v/>
      </c>
    </row>
    <row r="119">
      <c r="A119" s="13">
        <f>'CASH FLOW'!A119</f>
        <v/>
      </c>
      <c r="B119" s="13">
        <f>'CASH FLOW'!B119</f>
        <v/>
      </c>
      <c r="C119" s="22">
        <f>IF(AND('CASH FLOW'!C119=0,BUDGET!C119=0),"",'CASH FLOW'!C119-BUDGET!C119)</f>
        <v/>
      </c>
      <c r="D119" s="22">
        <f>IF(AND('CASH FLOW'!D119=0,BUDGET!D119=0),"",'CASH FLOW'!D119-BUDGET!D119)</f>
        <v/>
      </c>
      <c r="E119" s="22">
        <f>IF(AND('CASH FLOW'!E119=0,BUDGET!E119=0),"",'CASH FLOW'!E119-BUDGET!E119)</f>
        <v/>
      </c>
      <c r="F119" s="22">
        <f>IF(AND('CASH FLOW'!F119=0,BUDGET!F119=0),"",'CASH FLOW'!F119-BUDGET!F119)</f>
        <v/>
      </c>
      <c r="G119" s="22">
        <f>IF(AND('CASH FLOW'!G119=0,BUDGET!G119=0),"",'CASH FLOW'!G119-BUDGET!G119)</f>
        <v/>
      </c>
      <c r="H119" s="22">
        <f>IF(AND('CASH FLOW'!H119=0,BUDGET!H119=0),"",'CASH FLOW'!H119-BUDGET!H119)</f>
        <v/>
      </c>
      <c r="I119" s="22">
        <f>IF(AND('CASH FLOW'!I119=0,BUDGET!I119=0),"",'CASH FLOW'!I119-BUDGET!I119)</f>
        <v/>
      </c>
      <c r="J119" s="22">
        <f>IF(AND('CASH FLOW'!J119=0,BUDGET!J119=0),"",'CASH FLOW'!J119-BUDGET!J119)</f>
        <v/>
      </c>
      <c r="K119" s="22">
        <f>IF(AND('CASH FLOW'!K119=0,BUDGET!K119=0),"",'CASH FLOW'!K119-BUDGET!K119)</f>
        <v/>
      </c>
      <c r="L119" s="22">
        <f>IF(AND('CASH FLOW'!L119=0,BUDGET!L119=0),"",'CASH FLOW'!L119-BUDGET!L119)</f>
        <v/>
      </c>
      <c r="M119" s="22">
        <f>IF(AND('CASH FLOW'!M119=0,BUDGET!M119=0),"",'CASH FLOW'!M119-BUDGET!M119)</f>
        <v/>
      </c>
      <c r="N119" s="22">
        <f>IF(AND('CASH FLOW'!N119=0,BUDGET!N119=0),"",'CASH FLOW'!N119-BUDGET!N119)</f>
        <v/>
      </c>
      <c r="O119" s="22">
        <f>IF(AND('CASH FLOW'!O119=0,BUDGET!O119=0),"",'CASH FLOW'!O119-BUDGET!O119)</f>
        <v/>
      </c>
      <c r="Q119" s="23">
        <f>IF(BUDGET!O119=0,"",('CASH FLOW'!O119-BUDGET!O119)/ABS(BUDGET!O119))</f>
        <v/>
      </c>
    </row>
    <row r="120">
      <c r="A120" s="13">
        <f>'CASH FLOW'!A120</f>
        <v/>
      </c>
      <c r="B120" s="13">
        <f>'CASH FLOW'!B120</f>
        <v/>
      </c>
      <c r="C120" s="22">
        <f>IF(AND('CASH FLOW'!C120=0,BUDGET!C120=0),"",'CASH FLOW'!C120-BUDGET!C120)</f>
        <v/>
      </c>
      <c r="D120" s="22">
        <f>IF(AND('CASH FLOW'!D120=0,BUDGET!D120=0),"",'CASH FLOW'!D120-BUDGET!D120)</f>
        <v/>
      </c>
      <c r="E120" s="22">
        <f>IF(AND('CASH FLOW'!E120=0,BUDGET!E120=0),"",'CASH FLOW'!E120-BUDGET!E120)</f>
        <v/>
      </c>
      <c r="F120" s="22">
        <f>IF(AND('CASH FLOW'!F120=0,BUDGET!F120=0),"",'CASH FLOW'!F120-BUDGET!F120)</f>
        <v/>
      </c>
      <c r="G120" s="22">
        <f>IF(AND('CASH FLOW'!G120=0,BUDGET!G120=0),"",'CASH FLOW'!G120-BUDGET!G120)</f>
        <v/>
      </c>
      <c r="H120" s="22">
        <f>IF(AND('CASH FLOW'!H120=0,BUDGET!H120=0),"",'CASH FLOW'!H120-BUDGET!H120)</f>
        <v/>
      </c>
      <c r="I120" s="22">
        <f>IF(AND('CASH FLOW'!I120=0,BUDGET!I120=0),"",'CASH FLOW'!I120-BUDGET!I120)</f>
        <v/>
      </c>
      <c r="J120" s="22">
        <f>IF(AND('CASH FLOW'!J120=0,BUDGET!J120=0),"",'CASH FLOW'!J120-BUDGET!J120)</f>
        <v/>
      </c>
      <c r="K120" s="22">
        <f>IF(AND('CASH FLOW'!K120=0,BUDGET!K120=0),"",'CASH FLOW'!K120-BUDGET!K120)</f>
        <v/>
      </c>
      <c r="L120" s="22">
        <f>IF(AND('CASH FLOW'!L120=0,BUDGET!L120=0),"",'CASH FLOW'!L120-BUDGET!L120)</f>
        <v/>
      </c>
      <c r="M120" s="22">
        <f>IF(AND('CASH FLOW'!M120=0,BUDGET!M120=0),"",'CASH FLOW'!M120-BUDGET!M120)</f>
        <v/>
      </c>
      <c r="N120" s="22">
        <f>IF(AND('CASH FLOW'!N120=0,BUDGET!N120=0),"",'CASH FLOW'!N120-BUDGET!N120)</f>
        <v/>
      </c>
      <c r="O120" s="22">
        <f>IF(AND('CASH FLOW'!O120=0,BUDGET!O120=0),"",'CASH FLOW'!O120-BUDGET!O120)</f>
        <v/>
      </c>
      <c r="Q120" s="23">
        <f>IF(BUDGET!O120=0,"",('CASH FLOW'!O120-BUDGET!O120)/ABS(BUDGET!O120))</f>
        <v/>
      </c>
    </row>
    <row r="121">
      <c r="A121" s="13">
        <f>'CASH FLOW'!A121</f>
        <v/>
      </c>
      <c r="B121" s="13">
        <f>'CASH FLOW'!B121</f>
        <v/>
      </c>
      <c r="C121" s="22">
        <f>IF(AND('CASH FLOW'!C121=0,BUDGET!C121=0),"",'CASH FLOW'!C121-BUDGET!C121)</f>
        <v/>
      </c>
      <c r="D121" s="22">
        <f>IF(AND('CASH FLOW'!D121=0,BUDGET!D121=0),"",'CASH FLOW'!D121-BUDGET!D121)</f>
        <v/>
      </c>
      <c r="E121" s="22">
        <f>IF(AND('CASH FLOW'!E121=0,BUDGET!E121=0),"",'CASH FLOW'!E121-BUDGET!E121)</f>
        <v/>
      </c>
      <c r="F121" s="22">
        <f>IF(AND('CASH FLOW'!F121=0,BUDGET!F121=0),"",'CASH FLOW'!F121-BUDGET!F121)</f>
        <v/>
      </c>
      <c r="G121" s="22">
        <f>IF(AND('CASH FLOW'!G121=0,BUDGET!G121=0),"",'CASH FLOW'!G121-BUDGET!G121)</f>
        <v/>
      </c>
      <c r="H121" s="22">
        <f>IF(AND('CASH FLOW'!H121=0,BUDGET!H121=0),"",'CASH FLOW'!H121-BUDGET!H121)</f>
        <v/>
      </c>
      <c r="I121" s="22">
        <f>IF(AND('CASH FLOW'!I121=0,BUDGET!I121=0),"",'CASH FLOW'!I121-BUDGET!I121)</f>
        <v/>
      </c>
      <c r="J121" s="22">
        <f>IF(AND('CASH FLOW'!J121=0,BUDGET!J121=0),"",'CASH FLOW'!J121-BUDGET!J121)</f>
        <v/>
      </c>
      <c r="K121" s="22">
        <f>IF(AND('CASH FLOW'!K121=0,BUDGET!K121=0),"",'CASH FLOW'!K121-BUDGET!K121)</f>
        <v/>
      </c>
      <c r="L121" s="22">
        <f>IF(AND('CASH FLOW'!L121=0,BUDGET!L121=0),"",'CASH FLOW'!L121-BUDGET!L121)</f>
        <v/>
      </c>
      <c r="M121" s="22">
        <f>IF(AND('CASH FLOW'!M121=0,BUDGET!M121=0),"",'CASH FLOW'!M121-BUDGET!M121)</f>
        <v/>
      </c>
      <c r="N121" s="22">
        <f>IF(AND('CASH FLOW'!N121=0,BUDGET!N121=0),"",'CASH FLOW'!N121-BUDGET!N121)</f>
        <v/>
      </c>
      <c r="O121" s="22">
        <f>IF(AND('CASH FLOW'!O121=0,BUDGET!O121=0),"",'CASH FLOW'!O121-BUDGET!O121)</f>
        <v/>
      </c>
      <c r="Q121" s="23">
        <f>IF(BUDGET!O121=0,"",('CASH FLOW'!O121-BUDGET!O121)/ABS(BUDGET!O121))</f>
        <v/>
      </c>
    </row>
    <row r="122">
      <c r="A122" s="13">
        <f>'CASH FLOW'!A122</f>
        <v/>
      </c>
      <c r="B122" s="13">
        <f>'CASH FLOW'!B122</f>
        <v/>
      </c>
      <c r="C122" s="22">
        <f>IF(AND('CASH FLOW'!C122=0,BUDGET!C122=0),"",'CASH FLOW'!C122-BUDGET!C122)</f>
        <v/>
      </c>
      <c r="D122" s="22">
        <f>IF(AND('CASH FLOW'!D122=0,BUDGET!D122=0),"",'CASH FLOW'!D122-BUDGET!D122)</f>
        <v/>
      </c>
      <c r="E122" s="22">
        <f>IF(AND('CASH FLOW'!E122=0,BUDGET!E122=0),"",'CASH FLOW'!E122-BUDGET!E122)</f>
        <v/>
      </c>
      <c r="F122" s="22">
        <f>IF(AND('CASH FLOW'!F122=0,BUDGET!F122=0),"",'CASH FLOW'!F122-BUDGET!F122)</f>
        <v/>
      </c>
      <c r="G122" s="22">
        <f>IF(AND('CASH FLOW'!G122=0,BUDGET!G122=0),"",'CASH FLOW'!G122-BUDGET!G122)</f>
        <v/>
      </c>
      <c r="H122" s="22">
        <f>IF(AND('CASH FLOW'!H122=0,BUDGET!H122=0),"",'CASH FLOW'!H122-BUDGET!H122)</f>
        <v/>
      </c>
      <c r="I122" s="22">
        <f>IF(AND('CASH FLOW'!I122=0,BUDGET!I122=0),"",'CASH FLOW'!I122-BUDGET!I122)</f>
        <v/>
      </c>
      <c r="J122" s="22">
        <f>IF(AND('CASH FLOW'!J122=0,BUDGET!J122=0),"",'CASH FLOW'!J122-BUDGET!J122)</f>
        <v/>
      </c>
      <c r="K122" s="22">
        <f>IF(AND('CASH FLOW'!K122=0,BUDGET!K122=0),"",'CASH FLOW'!K122-BUDGET!K122)</f>
        <v/>
      </c>
      <c r="L122" s="22">
        <f>IF(AND('CASH FLOW'!L122=0,BUDGET!L122=0),"",'CASH FLOW'!L122-BUDGET!L122)</f>
        <v/>
      </c>
      <c r="M122" s="22">
        <f>IF(AND('CASH FLOW'!M122=0,BUDGET!M122=0),"",'CASH FLOW'!M122-BUDGET!M122)</f>
        <v/>
      </c>
      <c r="N122" s="22">
        <f>IF(AND('CASH FLOW'!N122=0,BUDGET!N122=0),"",'CASH FLOW'!N122-BUDGET!N122)</f>
        <v/>
      </c>
      <c r="O122" s="22">
        <f>IF(AND('CASH FLOW'!O122=0,BUDGET!O122=0),"",'CASH FLOW'!O122-BUDGET!O122)</f>
        <v/>
      </c>
      <c r="Q122" s="23">
        <f>IF(BUDGET!O122=0,"",('CASH FLOW'!O122-BUDGET!O122)/ABS(BUDGET!O122))</f>
        <v/>
      </c>
    </row>
    <row r="123">
      <c r="A123" s="13">
        <f>'CASH FLOW'!A123</f>
        <v/>
      </c>
      <c r="B123" s="13">
        <f>'CASH FLOW'!B123</f>
        <v/>
      </c>
      <c r="C123" s="22">
        <f>IF(AND('CASH FLOW'!C123=0,BUDGET!C123=0),"",'CASH FLOW'!C123-BUDGET!C123)</f>
        <v/>
      </c>
      <c r="D123" s="22">
        <f>IF(AND('CASH FLOW'!D123=0,BUDGET!D123=0),"",'CASH FLOW'!D123-BUDGET!D123)</f>
        <v/>
      </c>
      <c r="E123" s="22">
        <f>IF(AND('CASH FLOW'!E123=0,BUDGET!E123=0),"",'CASH FLOW'!E123-BUDGET!E123)</f>
        <v/>
      </c>
      <c r="F123" s="22">
        <f>IF(AND('CASH FLOW'!F123=0,BUDGET!F123=0),"",'CASH FLOW'!F123-BUDGET!F123)</f>
        <v/>
      </c>
      <c r="G123" s="22">
        <f>IF(AND('CASH FLOW'!G123=0,BUDGET!G123=0),"",'CASH FLOW'!G123-BUDGET!G123)</f>
        <v/>
      </c>
      <c r="H123" s="22">
        <f>IF(AND('CASH FLOW'!H123=0,BUDGET!H123=0),"",'CASH FLOW'!H123-BUDGET!H123)</f>
        <v/>
      </c>
      <c r="I123" s="22">
        <f>IF(AND('CASH FLOW'!I123=0,BUDGET!I123=0),"",'CASH FLOW'!I123-BUDGET!I123)</f>
        <v/>
      </c>
      <c r="J123" s="22">
        <f>IF(AND('CASH FLOW'!J123=0,BUDGET!J123=0),"",'CASH FLOW'!J123-BUDGET!J123)</f>
        <v/>
      </c>
      <c r="K123" s="22">
        <f>IF(AND('CASH FLOW'!K123=0,BUDGET!K123=0),"",'CASH FLOW'!K123-BUDGET!K123)</f>
        <v/>
      </c>
      <c r="L123" s="22">
        <f>IF(AND('CASH FLOW'!L123=0,BUDGET!L123=0),"",'CASH FLOW'!L123-BUDGET!L123)</f>
        <v/>
      </c>
      <c r="M123" s="22">
        <f>IF(AND('CASH FLOW'!M123=0,BUDGET!M123=0),"",'CASH FLOW'!M123-BUDGET!M123)</f>
        <v/>
      </c>
      <c r="N123" s="22">
        <f>IF(AND('CASH FLOW'!N123=0,BUDGET!N123=0),"",'CASH FLOW'!N123-BUDGET!N123)</f>
        <v/>
      </c>
      <c r="O123" s="22">
        <f>IF(AND('CASH FLOW'!O123=0,BUDGET!O123=0),"",'CASH FLOW'!O123-BUDGET!O123)</f>
        <v/>
      </c>
      <c r="Q123" s="23">
        <f>IF(BUDGET!O123=0,"",('CASH FLOW'!O123-BUDGET!O123)/ABS(BUDGET!O123))</f>
        <v/>
      </c>
    </row>
    <row r="124">
      <c r="A124" s="13">
        <f>'CASH FLOW'!A124</f>
        <v/>
      </c>
      <c r="B124" s="13">
        <f>'CASH FLOW'!B124</f>
        <v/>
      </c>
      <c r="C124" s="22">
        <f>IF(AND('CASH FLOW'!C124=0,BUDGET!C124=0),"",'CASH FLOW'!C124-BUDGET!C124)</f>
        <v/>
      </c>
      <c r="D124" s="22">
        <f>IF(AND('CASH FLOW'!D124=0,BUDGET!D124=0),"",'CASH FLOW'!D124-BUDGET!D124)</f>
        <v/>
      </c>
      <c r="E124" s="22">
        <f>IF(AND('CASH FLOW'!E124=0,BUDGET!E124=0),"",'CASH FLOW'!E124-BUDGET!E124)</f>
        <v/>
      </c>
      <c r="F124" s="22">
        <f>IF(AND('CASH FLOW'!F124=0,BUDGET!F124=0),"",'CASH FLOW'!F124-BUDGET!F124)</f>
        <v/>
      </c>
      <c r="G124" s="22">
        <f>IF(AND('CASH FLOW'!G124=0,BUDGET!G124=0),"",'CASH FLOW'!G124-BUDGET!G124)</f>
        <v/>
      </c>
      <c r="H124" s="22">
        <f>IF(AND('CASH FLOW'!H124=0,BUDGET!H124=0),"",'CASH FLOW'!H124-BUDGET!H124)</f>
        <v/>
      </c>
      <c r="I124" s="22">
        <f>IF(AND('CASH FLOW'!I124=0,BUDGET!I124=0),"",'CASH FLOW'!I124-BUDGET!I124)</f>
        <v/>
      </c>
      <c r="J124" s="22">
        <f>IF(AND('CASH FLOW'!J124=0,BUDGET!J124=0),"",'CASH FLOW'!J124-BUDGET!J124)</f>
        <v/>
      </c>
      <c r="K124" s="22">
        <f>IF(AND('CASH FLOW'!K124=0,BUDGET!K124=0),"",'CASH FLOW'!K124-BUDGET!K124)</f>
        <v/>
      </c>
      <c r="L124" s="22">
        <f>IF(AND('CASH FLOW'!L124=0,BUDGET!L124=0),"",'CASH FLOW'!L124-BUDGET!L124)</f>
        <v/>
      </c>
      <c r="M124" s="22">
        <f>IF(AND('CASH FLOW'!M124=0,BUDGET!M124=0),"",'CASH FLOW'!M124-BUDGET!M124)</f>
        <v/>
      </c>
      <c r="N124" s="22">
        <f>IF(AND('CASH FLOW'!N124=0,BUDGET!N124=0),"",'CASH FLOW'!N124-BUDGET!N124)</f>
        <v/>
      </c>
      <c r="O124" s="22">
        <f>IF(AND('CASH FLOW'!O124=0,BUDGET!O124=0),"",'CASH FLOW'!O124-BUDGET!O124)</f>
        <v/>
      </c>
      <c r="Q124" s="23">
        <f>IF(BUDGET!O124=0,"",('CASH FLOW'!O124-BUDGET!O124)/ABS(BUDGET!O124))</f>
        <v/>
      </c>
    </row>
    <row r="125">
      <c r="A125" s="13">
        <f>'CASH FLOW'!A125</f>
        <v/>
      </c>
      <c r="B125" s="13">
        <f>'CASH FLOW'!B125</f>
        <v/>
      </c>
      <c r="C125" s="22">
        <f>IF(AND('CASH FLOW'!C125=0,BUDGET!C125=0),"",'CASH FLOW'!C125-BUDGET!C125)</f>
        <v/>
      </c>
      <c r="D125" s="22">
        <f>IF(AND('CASH FLOW'!D125=0,BUDGET!D125=0),"",'CASH FLOW'!D125-BUDGET!D125)</f>
        <v/>
      </c>
      <c r="E125" s="22">
        <f>IF(AND('CASH FLOW'!E125=0,BUDGET!E125=0),"",'CASH FLOW'!E125-BUDGET!E125)</f>
        <v/>
      </c>
      <c r="F125" s="22">
        <f>IF(AND('CASH FLOW'!F125=0,BUDGET!F125=0),"",'CASH FLOW'!F125-BUDGET!F125)</f>
        <v/>
      </c>
      <c r="G125" s="22">
        <f>IF(AND('CASH FLOW'!G125=0,BUDGET!G125=0),"",'CASH FLOW'!G125-BUDGET!G125)</f>
        <v/>
      </c>
      <c r="H125" s="22">
        <f>IF(AND('CASH FLOW'!H125=0,BUDGET!H125=0),"",'CASH FLOW'!H125-BUDGET!H125)</f>
        <v/>
      </c>
      <c r="I125" s="22">
        <f>IF(AND('CASH FLOW'!I125=0,BUDGET!I125=0),"",'CASH FLOW'!I125-BUDGET!I125)</f>
        <v/>
      </c>
      <c r="J125" s="22">
        <f>IF(AND('CASH FLOW'!J125=0,BUDGET!J125=0),"",'CASH FLOW'!J125-BUDGET!J125)</f>
        <v/>
      </c>
      <c r="K125" s="22">
        <f>IF(AND('CASH FLOW'!K125=0,BUDGET!K125=0),"",'CASH FLOW'!K125-BUDGET!K125)</f>
        <v/>
      </c>
      <c r="L125" s="22">
        <f>IF(AND('CASH FLOW'!L125=0,BUDGET!L125=0),"",'CASH FLOW'!L125-BUDGET!L125)</f>
        <v/>
      </c>
      <c r="M125" s="22">
        <f>IF(AND('CASH FLOW'!M125=0,BUDGET!M125=0),"",'CASH FLOW'!M125-BUDGET!M125)</f>
        <v/>
      </c>
      <c r="N125" s="22">
        <f>IF(AND('CASH FLOW'!N125=0,BUDGET!N125=0),"",'CASH FLOW'!N125-BUDGET!N125)</f>
        <v/>
      </c>
      <c r="O125" s="22">
        <f>IF(AND('CASH FLOW'!O125=0,BUDGET!O125=0),"",'CASH FLOW'!O125-BUDGET!O125)</f>
        <v/>
      </c>
      <c r="Q125" s="23">
        <f>IF(BUDGET!O125=0,"",('CASH FLOW'!O125-BUDGET!O125)/ABS(BUDGET!O125))</f>
        <v/>
      </c>
    </row>
    <row r="126">
      <c r="A126" s="13">
        <f>'CASH FLOW'!A126</f>
        <v/>
      </c>
      <c r="B126" s="13">
        <f>'CASH FLOW'!B126</f>
        <v/>
      </c>
      <c r="C126" s="22">
        <f>IF(AND('CASH FLOW'!C126=0,BUDGET!C126=0),"",'CASH FLOW'!C126-BUDGET!C126)</f>
        <v/>
      </c>
      <c r="D126" s="22">
        <f>IF(AND('CASH FLOW'!D126=0,BUDGET!D126=0),"",'CASH FLOW'!D126-BUDGET!D126)</f>
        <v/>
      </c>
      <c r="E126" s="22">
        <f>IF(AND('CASH FLOW'!E126=0,BUDGET!E126=0),"",'CASH FLOW'!E126-BUDGET!E126)</f>
        <v/>
      </c>
      <c r="F126" s="22">
        <f>IF(AND('CASH FLOW'!F126=0,BUDGET!F126=0),"",'CASH FLOW'!F126-BUDGET!F126)</f>
        <v/>
      </c>
      <c r="G126" s="22">
        <f>IF(AND('CASH FLOW'!G126=0,BUDGET!G126=0),"",'CASH FLOW'!G126-BUDGET!G126)</f>
        <v/>
      </c>
      <c r="H126" s="22">
        <f>IF(AND('CASH FLOW'!H126=0,BUDGET!H126=0),"",'CASH FLOW'!H126-BUDGET!H126)</f>
        <v/>
      </c>
      <c r="I126" s="22">
        <f>IF(AND('CASH FLOW'!I126=0,BUDGET!I126=0),"",'CASH FLOW'!I126-BUDGET!I126)</f>
        <v/>
      </c>
      <c r="J126" s="22">
        <f>IF(AND('CASH FLOW'!J126=0,BUDGET!J126=0),"",'CASH FLOW'!J126-BUDGET!J126)</f>
        <v/>
      </c>
      <c r="K126" s="22">
        <f>IF(AND('CASH FLOW'!K126=0,BUDGET!K126=0),"",'CASH FLOW'!K126-BUDGET!K126)</f>
        <v/>
      </c>
      <c r="L126" s="22">
        <f>IF(AND('CASH FLOW'!L126=0,BUDGET!L126=0),"",'CASH FLOW'!L126-BUDGET!L126)</f>
        <v/>
      </c>
      <c r="M126" s="22">
        <f>IF(AND('CASH FLOW'!M126=0,BUDGET!M126=0),"",'CASH FLOW'!M126-BUDGET!M126)</f>
        <v/>
      </c>
      <c r="N126" s="22">
        <f>IF(AND('CASH FLOW'!N126=0,BUDGET!N126=0),"",'CASH FLOW'!N126-BUDGET!N126)</f>
        <v/>
      </c>
      <c r="O126" s="22">
        <f>IF(AND('CASH FLOW'!O126=0,BUDGET!O126=0),"",'CASH FLOW'!O126-BUDGET!O126)</f>
        <v/>
      </c>
      <c r="Q126" s="23">
        <f>IF(BUDGET!O126=0,"",('CASH FLOW'!O126-BUDGET!O126)/ABS(BUDGET!O126))</f>
        <v/>
      </c>
    </row>
    <row r="127">
      <c r="A127" s="13">
        <f>'CASH FLOW'!A127</f>
        <v/>
      </c>
      <c r="B127" s="13">
        <f>'CASH FLOW'!B127</f>
        <v/>
      </c>
      <c r="C127" s="22">
        <f>IF(AND('CASH FLOW'!C127=0,BUDGET!C127=0),"",'CASH FLOW'!C127-BUDGET!C127)</f>
        <v/>
      </c>
      <c r="D127" s="22">
        <f>IF(AND('CASH FLOW'!D127=0,BUDGET!D127=0),"",'CASH FLOW'!D127-BUDGET!D127)</f>
        <v/>
      </c>
      <c r="E127" s="22">
        <f>IF(AND('CASH FLOW'!E127=0,BUDGET!E127=0),"",'CASH FLOW'!E127-BUDGET!E127)</f>
        <v/>
      </c>
      <c r="F127" s="22">
        <f>IF(AND('CASH FLOW'!F127=0,BUDGET!F127=0),"",'CASH FLOW'!F127-BUDGET!F127)</f>
        <v/>
      </c>
      <c r="G127" s="22">
        <f>IF(AND('CASH FLOW'!G127=0,BUDGET!G127=0),"",'CASH FLOW'!G127-BUDGET!G127)</f>
        <v/>
      </c>
      <c r="H127" s="22">
        <f>IF(AND('CASH FLOW'!H127=0,BUDGET!H127=0),"",'CASH FLOW'!H127-BUDGET!H127)</f>
        <v/>
      </c>
      <c r="I127" s="22">
        <f>IF(AND('CASH FLOW'!I127=0,BUDGET!I127=0),"",'CASH FLOW'!I127-BUDGET!I127)</f>
        <v/>
      </c>
      <c r="J127" s="22">
        <f>IF(AND('CASH FLOW'!J127=0,BUDGET!J127=0),"",'CASH FLOW'!J127-BUDGET!J127)</f>
        <v/>
      </c>
      <c r="K127" s="22">
        <f>IF(AND('CASH FLOW'!K127=0,BUDGET!K127=0),"",'CASH FLOW'!K127-BUDGET!K127)</f>
        <v/>
      </c>
      <c r="L127" s="22">
        <f>IF(AND('CASH FLOW'!L127=0,BUDGET!L127=0),"",'CASH FLOW'!L127-BUDGET!L127)</f>
        <v/>
      </c>
      <c r="M127" s="22">
        <f>IF(AND('CASH FLOW'!M127=0,BUDGET!M127=0),"",'CASH FLOW'!M127-BUDGET!M127)</f>
        <v/>
      </c>
      <c r="N127" s="22">
        <f>IF(AND('CASH FLOW'!N127=0,BUDGET!N127=0),"",'CASH FLOW'!N127-BUDGET!N127)</f>
        <v/>
      </c>
      <c r="O127" s="22">
        <f>IF(AND('CASH FLOW'!O127=0,BUDGET!O127=0),"",'CASH FLOW'!O127-BUDGET!O127)</f>
        <v/>
      </c>
      <c r="Q127" s="23">
        <f>IF(BUDGET!O127=0,"",('CASH FLOW'!O127-BUDGET!O127)/ABS(BUDGET!O127))</f>
        <v/>
      </c>
    </row>
    <row r="128">
      <c r="A128" s="13">
        <f>'CASH FLOW'!A128</f>
        <v/>
      </c>
      <c r="B128" s="13">
        <f>'CASH FLOW'!B128</f>
        <v/>
      </c>
      <c r="C128" s="22">
        <f>IF(AND('CASH FLOW'!C128=0,BUDGET!C128=0),"",'CASH FLOW'!C128-BUDGET!C128)</f>
        <v/>
      </c>
      <c r="D128" s="22">
        <f>IF(AND('CASH FLOW'!D128=0,BUDGET!D128=0),"",'CASH FLOW'!D128-BUDGET!D128)</f>
        <v/>
      </c>
      <c r="E128" s="22">
        <f>IF(AND('CASH FLOW'!E128=0,BUDGET!E128=0),"",'CASH FLOW'!E128-BUDGET!E128)</f>
        <v/>
      </c>
      <c r="F128" s="22">
        <f>IF(AND('CASH FLOW'!F128=0,BUDGET!F128=0),"",'CASH FLOW'!F128-BUDGET!F128)</f>
        <v/>
      </c>
      <c r="G128" s="22">
        <f>IF(AND('CASH FLOW'!G128=0,BUDGET!G128=0),"",'CASH FLOW'!G128-BUDGET!G128)</f>
        <v/>
      </c>
      <c r="H128" s="22">
        <f>IF(AND('CASH FLOW'!H128=0,BUDGET!H128=0),"",'CASH FLOW'!H128-BUDGET!H128)</f>
        <v/>
      </c>
      <c r="I128" s="22">
        <f>IF(AND('CASH FLOW'!I128=0,BUDGET!I128=0),"",'CASH FLOW'!I128-BUDGET!I128)</f>
        <v/>
      </c>
      <c r="J128" s="22">
        <f>IF(AND('CASH FLOW'!J128=0,BUDGET!J128=0),"",'CASH FLOW'!J128-BUDGET!J128)</f>
        <v/>
      </c>
      <c r="K128" s="22">
        <f>IF(AND('CASH FLOW'!K128=0,BUDGET!K128=0),"",'CASH FLOW'!K128-BUDGET!K128)</f>
        <v/>
      </c>
      <c r="L128" s="22">
        <f>IF(AND('CASH FLOW'!L128=0,BUDGET!L128=0),"",'CASH FLOW'!L128-BUDGET!L128)</f>
        <v/>
      </c>
      <c r="M128" s="22">
        <f>IF(AND('CASH FLOW'!M128=0,BUDGET!M128=0),"",'CASH FLOW'!M128-BUDGET!M128)</f>
        <v/>
      </c>
      <c r="N128" s="22">
        <f>IF(AND('CASH FLOW'!N128=0,BUDGET!N128=0),"",'CASH FLOW'!N128-BUDGET!N128)</f>
        <v/>
      </c>
      <c r="O128" s="22">
        <f>IF(AND('CASH FLOW'!O128=0,BUDGET!O128=0),"",'CASH FLOW'!O128-BUDGET!O128)</f>
        <v/>
      </c>
      <c r="Q128" s="23">
        <f>IF(BUDGET!O128=0,"",('CASH FLOW'!O128-BUDGET!O128)/ABS(BUDGET!O128))</f>
        <v/>
      </c>
    </row>
    <row r="129">
      <c r="A129" s="13">
        <f>'CASH FLOW'!A129</f>
        <v/>
      </c>
      <c r="B129" s="13">
        <f>'CASH FLOW'!B129</f>
        <v/>
      </c>
      <c r="C129" s="22">
        <f>IF(AND('CASH FLOW'!C129=0,BUDGET!C129=0),"",'CASH FLOW'!C129-BUDGET!C129)</f>
        <v/>
      </c>
      <c r="D129" s="22">
        <f>IF(AND('CASH FLOW'!D129=0,BUDGET!D129=0),"",'CASH FLOW'!D129-BUDGET!D129)</f>
        <v/>
      </c>
      <c r="E129" s="22">
        <f>IF(AND('CASH FLOW'!E129=0,BUDGET!E129=0),"",'CASH FLOW'!E129-BUDGET!E129)</f>
        <v/>
      </c>
      <c r="F129" s="22">
        <f>IF(AND('CASH FLOW'!F129=0,BUDGET!F129=0),"",'CASH FLOW'!F129-BUDGET!F129)</f>
        <v/>
      </c>
      <c r="G129" s="22">
        <f>IF(AND('CASH FLOW'!G129=0,BUDGET!G129=0),"",'CASH FLOW'!G129-BUDGET!G129)</f>
        <v/>
      </c>
      <c r="H129" s="22">
        <f>IF(AND('CASH FLOW'!H129=0,BUDGET!H129=0),"",'CASH FLOW'!H129-BUDGET!H129)</f>
        <v/>
      </c>
      <c r="I129" s="22">
        <f>IF(AND('CASH FLOW'!I129=0,BUDGET!I129=0),"",'CASH FLOW'!I129-BUDGET!I129)</f>
        <v/>
      </c>
      <c r="J129" s="22">
        <f>IF(AND('CASH FLOW'!J129=0,BUDGET!J129=0),"",'CASH FLOW'!J129-BUDGET!J129)</f>
        <v/>
      </c>
      <c r="K129" s="22">
        <f>IF(AND('CASH FLOW'!K129=0,BUDGET!K129=0),"",'CASH FLOW'!K129-BUDGET!K129)</f>
        <v/>
      </c>
      <c r="L129" s="22">
        <f>IF(AND('CASH FLOW'!L129=0,BUDGET!L129=0),"",'CASH FLOW'!L129-BUDGET!L129)</f>
        <v/>
      </c>
      <c r="M129" s="22">
        <f>IF(AND('CASH FLOW'!M129=0,BUDGET!M129=0),"",'CASH FLOW'!M129-BUDGET!M129)</f>
        <v/>
      </c>
      <c r="N129" s="22">
        <f>IF(AND('CASH FLOW'!N129=0,BUDGET!N129=0),"",'CASH FLOW'!N129-BUDGET!N129)</f>
        <v/>
      </c>
      <c r="O129" s="22">
        <f>IF(AND('CASH FLOW'!O129=0,BUDGET!O129=0),"",'CASH FLOW'!O129-BUDGET!O129)</f>
        <v/>
      </c>
      <c r="Q129" s="23">
        <f>IF(BUDGET!O129=0,"",('CASH FLOW'!O129-BUDGET!O129)/ABS(BUDGET!O129))</f>
        <v/>
      </c>
    </row>
    <row r="130">
      <c r="A130" s="13">
        <f>'CASH FLOW'!A130</f>
        <v/>
      </c>
      <c r="B130" s="13">
        <f>'CASH FLOW'!B130</f>
        <v/>
      </c>
      <c r="C130" s="22">
        <f>IF(AND('CASH FLOW'!C130=0,BUDGET!C130=0),"",'CASH FLOW'!C130-BUDGET!C130)</f>
        <v/>
      </c>
      <c r="D130" s="22">
        <f>IF(AND('CASH FLOW'!D130=0,BUDGET!D130=0),"",'CASH FLOW'!D130-BUDGET!D130)</f>
        <v/>
      </c>
      <c r="E130" s="22">
        <f>IF(AND('CASH FLOW'!E130=0,BUDGET!E130=0),"",'CASH FLOW'!E130-BUDGET!E130)</f>
        <v/>
      </c>
      <c r="F130" s="22">
        <f>IF(AND('CASH FLOW'!F130=0,BUDGET!F130=0),"",'CASH FLOW'!F130-BUDGET!F130)</f>
        <v/>
      </c>
      <c r="G130" s="22">
        <f>IF(AND('CASH FLOW'!G130=0,BUDGET!G130=0),"",'CASH FLOW'!G130-BUDGET!G130)</f>
        <v/>
      </c>
      <c r="H130" s="22">
        <f>IF(AND('CASH FLOW'!H130=0,BUDGET!H130=0),"",'CASH FLOW'!H130-BUDGET!H130)</f>
        <v/>
      </c>
      <c r="I130" s="22">
        <f>IF(AND('CASH FLOW'!I130=0,BUDGET!I130=0),"",'CASH FLOW'!I130-BUDGET!I130)</f>
        <v/>
      </c>
      <c r="J130" s="22">
        <f>IF(AND('CASH FLOW'!J130=0,BUDGET!J130=0),"",'CASH FLOW'!J130-BUDGET!J130)</f>
        <v/>
      </c>
      <c r="K130" s="22">
        <f>IF(AND('CASH FLOW'!K130=0,BUDGET!K130=0),"",'CASH FLOW'!K130-BUDGET!K130)</f>
        <v/>
      </c>
      <c r="L130" s="22">
        <f>IF(AND('CASH FLOW'!L130=0,BUDGET!L130=0),"",'CASH FLOW'!L130-BUDGET!L130)</f>
        <v/>
      </c>
      <c r="M130" s="22">
        <f>IF(AND('CASH FLOW'!M130=0,BUDGET!M130=0),"",'CASH FLOW'!M130-BUDGET!M130)</f>
        <v/>
      </c>
      <c r="N130" s="22">
        <f>IF(AND('CASH FLOW'!N130=0,BUDGET!N130=0),"",'CASH FLOW'!N130-BUDGET!N130)</f>
        <v/>
      </c>
      <c r="O130" s="22">
        <f>IF(AND('CASH FLOW'!O130=0,BUDGET!O130=0),"",'CASH FLOW'!O130-BUDGET!O130)</f>
        <v/>
      </c>
      <c r="Q130" s="23">
        <f>IF(BUDGET!O130=0,"",('CASH FLOW'!O130-BUDGET!O130)/ABS(BUDGET!O130))</f>
        <v/>
      </c>
    </row>
    <row r="131">
      <c r="A131" s="13">
        <f>'CASH FLOW'!A131</f>
        <v/>
      </c>
      <c r="B131" s="13">
        <f>'CASH FLOW'!B131</f>
        <v/>
      </c>
      <c r="C131" s="22">
        <f>IF(AND('CASH FLOW'!C131=0,BUDGET!C131=0),"",'CASH FLOW'!C131-BUDGET!C131)</f>
        <v/>
      </c>
      <c r="D131" s="22">
        <f>IF(AND('CASH FLOW'!D131=0,BUDGET!D131=0),"",'CASH FLOW'!D131-BUDGET!D131)</f>
        <v/>
      </c>
      <c r="E131" s="22">
        <f>IF(AND('CASH FLOW'!E131=0,BUDGET!E131=0),"",'CASH FLOW'!E131-BUDGET!E131)</f>
        <v/>
      </c>
      <c r="F131" s="22">
        <f>IF(AND('CASH FLOW'!F131=0,BUDGET!F131=0),"",'CASH FLOW'!F131-BUDGET!F131)</f>
        <v/>
      </c>
      <c r="G131" s="22">
        <f>IF(AND('CASH FLOW'!G131=0,BUDGET!G131=0),"",'CASH FLOW'!G131-BUDGET!G131)</f>
        <v/>
      </c>
      <c r="H131" s="22">
        <f>IF(AND('CASH FLOW'!H131=0,BUDGET!H131=0),"",'CASH FLOW'!H131-BUDGET!H131)</f>
        <v/>
      </c>
      <c r="I131" s="22">
        <f>IF(AND('CASH FLOW'!I131=0,BUDGET!I131=0),"",'CASH FLOW'!I131-BUDGET!I131)</f>
        <v/>
      </c>
      <c r="J131" s="22">
        <f>IF(AND('CASH FLOW'!J131=0,BUDGET!J131=0),"",'CASH FLOW'!J131-BUDGET!J131)</f>
        <v/>
      </c>
      <c r="K131" s="22">
        <f>IF(AND('CASH FLOW'!K131=0,BUDGET!K131=0),"",'CASH FLOW'!K131-BUDGET!K131)</f>
        <v/>
      </c>
      <c r="L131" s="22">
        <f>IF(AND('CASH FLOW'!L131=0,BUDGET!L131=0),"",'CASH FLOW'!L131-BUDGET!L131)</f>
        <v/>
      </c>
      <c r="M131" s="22">
        <f>IF(AND('CASH FLOW'!M131=0,BUDGET!M131=0),"",'CASH FLOW'!M131-BUDGET!M131)</f>
        <v/>
      </c>
      <c r="N131" s="22">
        <f>IF(AND('CASH FLOW'!N131=0,BUDGET!N131=0),"",'CASH FLOW'!N131-BUDGET!N131)</f>
        <v/>
      </c>
      <c r="O131" s="22">
        <f>IF(AND('CASH FLOW'!O131=0,BUDGET!O131=0),"",'CASH FLOW'!O131-BUDGET!O131)</f>
        <v/>
      </c>
      <c r="Q131" s="23">
        <f>IF(BUDGET!O131=0,"",('CASH FLOW'!O131-BUDGET!O131)/ABS(BUDGET!O131))</f>
        <v/>
      </c>
    </row>
    <row r="132">
      <c r="A132" s="13">
        <f>'CASH FLOW'!A132</f>
        <v/>
      </c>
      <c r="B132" s="13">
        <f>'CASH FLOW'!B132</f>
        <v/>
      </c>
      <c r="C132" s="22">
        <f>IF(AND('CASH FLOW'!C132=0,BUDGET!C132=0),"",'CASH FLOW'!C132-BUDGET!C132)</f>
        <v/>
      </c>
      <c r="D132" s="22">
        <f>IF(AND('CASH FLOW'!D132=0,BUDGET!D132=0),"",'CASH FLOW'!D132-BUDGET!D132)</f>
        <v/>
      </c>
      <c r="E132" s="22">
        <f>IF(AND('CASH FLOW'!E132=0,BUDGET!E132=0),"",'CASH FLOW'!E132-BUDGET!E132)</f>
        <v/>
      </c>
      <c r="F132" s="22">
        <f>IF(AND('CASH FLOW'!F132=0,BUDGET!F132=0),"",'CASH FLOW'!F132-BUDGET!F132)</f>
        <v/>
      </c>
      <c r="G132" s="22">
        <f>IF(AND('CASH FLOW'!G132=0,BUDGET!G132=0),"",'CASH FLOW'!G132-BUDGET!G132)</f>
        <v/>
      </c>
      <c r="H132" s="22">
        <f>IF(AND('CASH FLOW'!H132=0,BUDGET!H132=0),"",'CASH FLOW'!H132-BUDGET!H132)</f>
        <v/>
      </c>
      <c r="I132" s="22">
        <f>IF(AND('CASH FLOW'!I132=0,BUDGET!I132=0),"",'CASH FLOW'!I132-BUDGET!I132)</f>
        <v/>
      </c>
      <c r="J132" s="22">
        <f>IF(AND('CASH FLOW'!J132=0,BUDGET!J132=0),"",'CASH FLOW'!J132-BUDGET!J132)</f>
        <v/>
      </c>
      <c r="K132" s="22">
        <f>IF(AND('CASH FLOW'!K132=0,BUDGET!K132=0),"",'CASH FLOW'!K132-BUDGET!K132)</f>
        <v/>
      </c>
      <c r="L132" s="22">
        <f>IF(AND('CASH FLOW'!L132=0,BUDGET!L132=0),"",'CASH FLOW'!L132-BUDGET!L132)</f>
        <v/>
      </c>
      <c r="M132" s="22">
        <f>IF(AND('CASH FLOW'!M132=0,BUDGET!M132=0),"",'CASH FLOW'!M132-BUDGET!M132)</f>
        <v/>
      </c>
      <c r="N132" s="22">
        <f>IF(AND('CASH FLOW'!N132=0,BUDGET!N132=0),"",'CASH FLOW'!N132-BUDGET!N132)</f>
        <v/>
      </c>
      <c r="O132" s="22">
        <f>IF(AND('CASH FLOW'!O132=0,BUDGET!O132=0),"",'CASH FLOW'!O132-BUDGET!O132)</f>
        <v/>
      </c>
      <c r="Q132" s="23">
        <f>IF(BUDGET!O132=0,"",('CASH FLOW'!O132-BUDGET!O132)/ABS(BUDGET!O132))</f>
        <v/>
      </c>
    </row>
    <row r="133">
      <c r="A133" s="13">
        <f>'CASH FLOW'!A133</f>
        <v/>
      </c>
      <c r="B133" s="13">
        <f>'CASH FLOW'!B133</f>
        <v/>
      </c>
      <c r="C133" s="22">
        <f>IF(AND('CASH FLOW'!C133=0,BUDGET!C133=0),"",'CASH FLOW'!C133-BUDGET!C133)</f>
        <v/>
      </c>
      <c r="D133" s="22">
        <f>IF(AND('CASH FLOW'!D133=0,BUDGET!D133=0),"",'CASH FLOW'!D133-BUDGET!D133)</f>
        <v/>
      </c>
      <c r="E133" s="22">
        <f>IF(AND('CASH FLOW'!E133=0,BUDGET!E133=0),"",'CASH FLOW'!E133-BUDGET!E133)</f>
        <v/>
      </c>
      <c r="F133" s="22">
        <f>IF(AND('CASH FLOW'!F133=0,BUDGET!F133=0),"",'CASH FLOW'!F133-BUDGET!F133)</f>
        <v/>
      </c>
      <c r="G133" s="22">
        <f>IF(AND('CASH FLOW'!G133=0,BUDGET!G133=0),"",'CASH FLOW'!G133-BUDGET!G133)</f>
        <v/>
      </c>
      <c r="H133" s="22">
        <f>IF(AND('CASH FLOW'!H133=0,BUDGET!H133=0),"",'CASH FLOW'!H133-BUDGET!H133)</f>
        <v/>
      </c>
      <c r="I133" s="22">
        <f>IF(AND('CASH FLOW'!I133=0,BUDGET!I133=0),"",'CASH FLOW'!I133-BUDGET!I133)</f>
        <v/>
      </c>
      <c r="J133" s="22">
        <f>IF(AND('CASH FLOW'!J133=0,BUDGET!J133=0),"",'CASH FLOW'!J133-BUDGET!J133)</f>
        <v/>
      </c>
      <c r="K133" s="22">
        <f>IF(AND('CASH FLOW'!K133=0,BUDGET!K133=0),"",'CASH FLOW'!K133-BUDGET!K133)</f>
        <v/>
      </c>
      <c r="L133" s="22">
        <f>IF(AND('CASH FLOW'!L133=0,BUDGET!L133=0),"",'CASH FLOW'!L133-BUDGET!L133)</f>
        <v/>
      </c>
      <c r="M133" s="22">
        <f>IF(AND('CASH FLOW'!M133=0,BUDGET!M133=0),"",'CASH FLOW'!M133-BUDGET!M133)</f>
        <v/>
      </c>
      <c r="N133" s="22">
        <f>IF(AND('CASH FLOW'!N133=0,BUDGET!N133=0),"",'CASH FLOW'!N133-BUDGET!N133)</f>
        <v/>
      </c>
      <c r="O133" s="22">
        <f>IF(AND('CASH FLOW'!O133=0,BUDGET!O133=0),"",'CASH FLOW'!O133-BUDGET!O133)</f>
        <v/>
      </c>
      <c r="Q133" s="23">
        <f>IF(BUDGET!O133=0,"",('CASH FLOW'!O133-BUDGET!O133)/ABS(BUDGET!O133))</f>
        <v/>
      </c>
    </row>
    <row r="134">
      <c r="A134" s="13">
        <f>'CASH FLOW'!A134</f>
        <v/>
      </c>
      <c r="B134" s="13">
        <f>'CASH FLOW'!B134</f>
        <v/>
      </c>
      <c r="C134" s="22">
        <f>IF(AND('CASH FLOW'!C134=0,BUDGET!C134=0),"",'CASH FLOW'!C134-BUDGET!C134)</f>
        <v/>
      </c>
      <c r="D134" s="22">
        <f>IF(AND('CASH FLOW'!D134=0,BUDGET!D134=0),"",'CASH FLOW'!D134-BUDGET!D134)</f>
        <v/>
      </c>
      <c r="E134" s="22">
        <f>IF(AND('CASH FLOW'!E134=0,BUDGET!E134=0),"",'CASH FLOW'!E134-BUDGET!E134)</f>
        <v/>
      </c>
      <c r="F134" s="22">
        <f>IF(AND('CASH FLOW'!F134=0,BUDGET!F134=0),"",'CASH FLOW'!F134-BUDGET!F134)</f>
        <v/>
      </c>
      <c r="G134" s="22">
        <f>IF(AND('CASH FLOW'!G134=0,BUDGET!G134=0),"",'CASH FLOW'!G134-BUDGET!G134)</f>
        <v/>
      </c>
      <c r="H134" s="22">
        <f>IF(AND('CASH FLOW'!H134=0,BUDGET!H134=0),"",'CASH FLOW'!H134-BUDGET!H134)</f>
        <v/>
      </c>
      <c r="I134" s="22">
        <f>IF(AND('CASH FLOW'!I134=0,BUDGET!I134=0),"",'CASH FLOW'!I134-BUDGET!I134)</f>
        <v/>
      </c>
      <c r="J134" s="22">
        <f>IF(AND('CASH FLOW'!J134=0,BUDGET!J134=0),"",'CASH FLOW'!J134-BUDGET!J134)</f>
        <v/>
      </c>
      <c r="K134" s="22">
        <f>IF(AND('CASH FLOW'!K134=0,BUDGET!K134=0),"",'CASH FLOW'!K134-BUDGET!K134)</f>
        <v/>
      </c>
      <c r="L134" s="22">
        <f>IF(AND('CASH FLOW'!L134=0,BUDGET!L134=0),"",'CASH FLOW'!L134-BUDGET!L134)</f>
        <v/>
      </c>
      <c r="M134" s="22">
        <f>IF(AND('CASH FLOW'!M134=0,BUDGET!M134=0),"",'CASH FLOW'!M134-BUDGET!M134)</f>
        <v/>
      </c>
      <c r="N134" s="22">
        <f>IF(AND('CASH FLOW'!N134=0,BUDGET!N134=0),"",'CASH FLOW'!N134-BUDGET!N134)</f>
        <v/>
      </c>
      <c r="O134" s="22">
        <f>IF(AND('CASH FLOW'!O134=0,BUDGET!O134=0),"",'CASH FLOW'!O134-BUDGET!O134)</f>
        <v/>
      </c>
      <c r="Q134" s="23">
        <f>IF(BUDGET!O134=0,"",('CASH FLOW'!O134-BUDGET!O134)/ABS(BUDGET!O134))</f>
        <v/>
      </c>
    </row>
    <row r="135">
      <c r="A135" s="13">
        <f>'CASH FLOW'!A135</f>
        <v/>
      </c>
      <c r="B135" s="13">
        <f>'CASH FLOW'!B135</f>
        <v/>
      </c>
      <c r="C135" s="22">
        <f>IF(AND('CASH FLOW'!C135=0,BUDGET!C135=0),"",'CASH FLOW'!C135-BUDGET!C135)</f>
        <v/>
      </c>
      <c r="D135" s="22">
        <f>IF(AND('CASH FLOW'!D135=0,BUDGET!D135=0),"",'CASH FLOW'!D135-BUDGET!D135)</f>
        <v/>
      </c>
      <c r="E135" s="22">
        <f>IF(AND('CASH FLOW'!E135=0,BUDGET!E135=0),"",'CASH FLOW'!E135-BUDGET!E135)</f>
        <v/>
      </c>
      <c r="F135" s="22">
        <f>IF(AND('CASH FLOW'!F135=0,BUDGET!F135=0),"",'CASH FLOW'!F135-BUDGET!F135)</f>
        <v/>
      </c>
      <c r="G135" s="22">
        <f>IF(AND('CASH FLOW'!G135=0,BUDGET!G135=0),"",'CASH FLOW'!G135-BUDGET!G135)</f>
        <v/>
      </c>
      <c r="H135" s="22">
        <f>IF(AND('CASH FLOW'!H135=0,BUDGET!H135=0),"",'CASH FLOW'!H135-BUDGET!H135)</f>
        <v/>
      </c>
      <c r="I135" s="22">
        <f>IF(AND('CASH FLOW'!I135=0,BUDGET!I135=0),"",'CASH FLOW'!I135-BUDGET!I135)</f>
        <v/>
      </c>
      <c r="J135" s="22">
        <f>IF(AND('CASH FLOW'!J135=0,BUDGET!J135=0),"",'CASH FLOW'!J135-BUDGET!J135)</f>
        <v/>
      </c>
      <c r="K135" s="22">
        <f>IF(AND('CASH FLOW'!K135=0,BUDGET!K135=0),"",'CASH FLOW'!K135-BUDGET!K135)</f>
        <v/>
      </c>
      <c r="L135" s="22">
        <f>IF(AND('CASH FLOW'!L135=0,BUDGET!L135=0),"",'CASH FLOW'!L135-BUDGET!L135)</f>
        <v/>
      </c>
      <c r="M135" s="22">
        <f>IF(AND('CASH FLOW'!M135=0,BUDGET!M135=0),"",'CASH FLOW'!M135-BUDGET!M135)</f>
        <v/>
      </c>
      <c r="N135" s="22">
        <f>IF(AND('CASH FLOW'!N135=0,BUDGET!N135=0),"",'CASH FLOW'!N135-BUDGET!N135)</f>
        <v/>
      </c>
      <c r="O135" s="22">
        <f>IF(AND('CASH FLOW'!O135=0,BUDGET!O135=0),"",'CASH FLOW'!O135-BUDGET!O135)</f>
        <v/>
      </c>
      <c r="Q135" s="23">
        <f>IF(BUDGET!O135=0,"",('CASH FLOW'!O135-BUDGET!O135)/ABS(BUDGET!O135))</f>
        <v/>
      </c>
    </row>
    <row r="136">
      <c r="A136" s="13">
        <f>'CASH FLOW'!A136</f>
        <v/>
      </c>
      <c r="B136" s="13">
        <f>'CASH FLOW'!B136</f>
        <v/>
      </c>
      <c r="C136" s="22">
        <f>IF(AND('CASH FLOW'!C136=0,BUDGET!C136=0),"",'CASH FLOW'!C136-BUDGET!C136)</f>
        <v/>
      </c>
      <c r="D136" s="22">
        <f>IF(AND('CASH FLOW'!D136=0,BUDGET!D136=0),"",'CASH FLOW'!D136-BUDGET!D136)</f>
        <v/>
      </c>
      <c r="E136" s="22">
        <f>IF(AND('CASH FLOW'!E136=0,BUDGET!E136=0),"",'CASH FLOW'!E136-BUDGET!E136)</f>
        <v/>
      </c>
      <c r="F136" s="22">
        <f>IF(AND('CASH FLOW'!F136=0,BUDGET!F136=0),"",'CASH FLOW'!F136-BUDGET!F136)</f>
        <v/>
      </c>
      <c r="G136" s="22">
        <f>IF(AND('CASH FLOW'!G136=0,BUDGET!G136=0),"",'CASH FLOW'!G136-BUDGET!G136)</f>
        <v/>
      </c>
      <c r="H136" s="22">
        <f>IF(AND('CASH FLOW'!H136=0,BUDGET!H136=0),"",'CASH FLOW'!H136-BUDGET!H136)</f>
        <v/>
      </c>
      <c r="I136" s="22">
        <f>IF(AND('CASH FLOW'!I136=0,BUDGET!I136=0),"",'CASH FLOW'!I136-BUDGET!I136)</f>
        <v/>
      </c>
      <c r="J136" s="22">
        <f>IF(AND('CASH FLOW'!J136=0,BUDGET!J136=0),"",'CASH FLOW'!J136-BUDGET!J136)</f>
        <v/>
      </c>
      <c r="K136" s="22">
        <f>IF(AND('CASH FLOW'!K136=0,BUDGET!K136=0),"",'CASH FLOW'!K136-BUDGET!K136)</f>
        <v/>
      </c>
      <c r="L136" s="22">
        <f>IF(AND('CASH FLOW'!L136=0,BUDGET!L136=0),"",'CASH FLOW'!L136-BUDGET!L136)</f>
        <v/>
      </c>
      <c r="M136" s="22">
        <f>IF(AND('CASH FLOW'!M136=0,BUDGET!M136=0),"",'CASH FLOW'!M136-BUDGET!M136)</f>
        <v/>
      </c>
      <c r="N136" s="22">
        <f>IF(AND('CASH FLOW'!N136=0,BUDGET!N136=0),"",'CASH FLOW'!N136-BUDGET!N136)</f>
        <v/>
      </c>
      <c r="O136" s="22">
        <f>IF(AND('CASH FLOW'!O136=0,BUDGET!O136=0),"",'CASH FLOW'!O136-BUDGET!O136)</f>
        <v/>
      </c>
      <c r="Q136" s="23">
        <f>IF(BUDGET!O136=0,"",('CASH FLOW'!O136-BUDGET!O136)/ABS(BUDGET!O136))</f>
        <v/>
      </c>
    </row>
    <row r="137">
      <c r="A137" s="13">
        <f>'CASH FLOW'!A137</f>
        <v/>
      </c>
      <c r="B137" s="13">
        <f>'CASH FLOW'!B137</f>
        <v/>
      </c>
      <c r="C137" s="22">
        <f>IF(AND('CASH FLOW'!C137=0,BUDGET!C137=0),"",'CASH FLOW'!C137-BUDGET!C137)</f>
        <v/>
      </c>
      <c r="D137" s="22">
        <f>IF(AND('CASH FLOW'!D137=0,BUDGET!D137=0),"",'CASH FLOW'!D137-BUDGET!D137)</f>
        <v/>
      </c>
      <c r="E137" s="22">
        <f>IF(AND('CASH FLOW'!E137=0,BUDGET!E137=0),"",'CASH FLOW'!E137-BUDGET!E137)</f>
        <v/>
      </c>
      <c r="F137" s="22">
        <f>IF(AND('CASH FLOW'!F137=0,BUDGET!F137=0),"",'CASH FLOW'!F137-BUDGET!F137)</f>
        <v/>
      </c>
      <c r="G137" s="22">
        <f>IF(AND('CASH FLOW'!G137=0,BUDGET!G137=0),"",'CASH FLOW'!G137-BUDGET!G137)</f>
        <v/>
      </c>
      <c r="H137" s="22">
        <f>IF(AND('CASH FLOW'!H137=0,BUDGET!H137=0),"",'CASH FLOW'!H137-BUDGET!H137)</f>
        <v/>
      </c>
      <c r="I137" s="22">
        <f>IF(AND('CASH FLOW'!I137=0,BUDGET!I137=0),"",'CASH FLOW'!I137-BUDGET!I137)</f>
        <v/>
      </c>
      <c r="J137" s="22">
        <f>IF(AND('CASH FLOW'!J137=0,BUDGET!J137=0),"",'CASH FLOW'!J137-BUDGET!J137)</f>
        <v/>
      </c>
      <c r="K137" s="22">
        <f>IF(AND('CASH FLOW'!K137=0,BUDGET!K137=0),"",'CASH FLOW'!K137-BUDGET!K137)</f>
        <v/>
      </c>
      <c r="L137" s="22">
        <f>IF(AND('CASH FLOW'!L137=0,BUDGET!L137=0),"",'CASH FLOW'!L137-BUDGET!L137)</f>
        <v/>
      </c>
      <c r="M137" s="22">
        <f>IF(AND('CASH FLOW'!M137=0,BUDGET!M137=0),"",'CASH FLOW'!M137-BUDGET!M137)</f>
        <v/>
      </c>
      <c r="N137" s="22">
        <f>IF(AND('CASH FLOW'!N137=0,BUDGET!N137=0),"",'CASH FLOW'!N137-BUDGET!N137)</f>
        <v/>
      </c>
      <c r="O137" s="22">
        <f>IF(AND('CASH FLOW'!O137=0,BUDGET!O137=0),"",'CASH FLOW'!O137-BUDGET!O137)</f>
        <v/>
      </c>
      <c r="Q137" s="23">
        <f>IF(BUDGET!O137=0,"",('CASH FLOW'!O137-BUDGET!O137)/ABS(BUDGET!O137))</f>
        <v/>
      </c>
    </row>
    <row r="138">
      <c r="A138" s="13">
        <f>'CASH FLOW'!A138</f>
        <v/>
      </c>
      <c r="B138" s="13">
        <f>'CASH FLOW'!B138</f>
        <v/>
      </c>
      <c r="C138" s="22">
        <f>IF(AND('CASH FLOW'!C138=0,BUDGET!C138=0),"",'CASH FLOW'!C138-BUDGET!C138)</f>
        <v/>
      </c>
      <c r="D138" s="22">
        <f>IF(AND('CASH FLOW'!D138=0,BUDGET!D138=0),"",'CASH FLOW'!D138-BUDGET!D138)</f>
        <v/>
      </c>
      <c r="E138" s="22">
        <f>IF(AND('CASH FLOW'!E138=0,BUDGET!E138=0),"",'CASH FLOW'!E138-BUDGET!E138)</f>
        <v/>
      </c>
      <c r="F138" s="22">
        <f>IF(AND('CASH FLOW'!F138=0,BUDGET!F138=0),"",'CASH FLOW'!F138-BUDGET!F138)</f>
        <v/>
      </c>
      <c r="G138" s="22">
        <f>IF(AND('CASH FLOW'!G138=0,BUDGET!G138=0),"",'CASH FLOW'!G138-BUDGET!G138)</f>
        <v/>
      </c>
      <c r="H138" s="22">
        <f>IF(AND('CASH FLOW'!H138=0,BUDGET!H138=0),"",'CASH FLOW'!H138-BUDGET!H138)</f>
        <v/>
      </c>
      <c r="I138" s="22">
        <f>IF(AND('CASH FLOW'!I138=0,BUDGET!I138=0),"",'CASH FLOW'!I138-BUDGET!I138)</f>
        <v/>
      </c>
      <c r="J138" s="22">
        <f>IF(AND('CASH FLOW'!J138=0,BUDGET!J138=0),"",'CASH FLOW'!J138-BUDGET!J138)</f>
        <v/>
      </c>
      <c r="K138" s="22">
        <f>IF(AND('CASH FLOW'!K138=0,BUDGET!K138=0),"",'CASH FLOW'!K138-BUDGET!K138)</f>
        <v/>
      </c>
      <c r="L138" s="22">
        <f>IF(AND('CASH FLOW'!L138=0,BUDGET!L138=0),"",'CASH FLOW'!L138-BUDGET!L138)</f>
        <v/>
      </c>
      <c r="M138" s="22">
        <f>IF(AND('CASH FLOW'!M138=0,BUDGET!M138=0),"",'CASH FLOW'!M138-BUDGET!M138)</f>
        <v/>
      </c>
      <c r="N138" s="22">
        <f>IF(AND('CASH FLOW'!N138=0,BUDGET!N138=0),"",'CASH FLOW'!N138-BUDGET!N138)</f>
        <v/>
      </c>
      <c r="O138" s="22">
        <f>IF(AND('CASH FLOW'!O138=0,BUDGET!O138=0),"",'CASH FLOW'!O138-BUDGET!O138)</f>
        <v/>
      </c>
      <c r="Q138" s="23">
        <f>IF(BUDGET!O138=0,"",('CASH FLOW'!O138-BUDGET!O138)/ABS(BUDGET!O138))</f>
        <v/>
      </c>
    </row>
    <row r="139">
      <c r="A139" s="13">
        <f>'CASH FLOW'!A139</f>
        <v/>
      </c>
      <c r="B139" s="13">
        <f>'CASH FLOW'!B139</f>
        <v/>
      </c>
      <c r="C139" s="22">
        <f>IF(AND('CASH FLOW'!C139=0,BUDGET!C139=0),"",'CASH FLOW'!C139-BUDGET!C139)</f>
        <v/>
      </c>
      <c r="D139" s="22">
        <f>IF(AND('CASH FLOW'!D139=0,BUDGET!D139=0),"",'CASH FLOW'!D139-BUDGET!D139)</f>
        <v/>
      </c>
      <c r="E139" s="22">
        <f>IF(AND('CASH FLOW'!E139=0,BUDGET!E139=0),"",'CASH FLOW'!E139-BUDGET!E139)</f>
        <v/>
      </c>
      <c r="F139" s="22">
        <f>IF(AND('CASH FLOW'!F139=0,BUDGET!F139=0),"",'CASH FLOW'!F139-BUDGET!F139)</f>
        <v/>
      </c>
      <c r="G139" s="22">
        <f>IF(AND('CASH FLOW'!G139=0,BUDGET!G139=0),"",'CASH FLOW'!G139-BUDGET!G139)</f>
        <v/>
      </c>
      <c r="H139" s="22">
        <f>IF(AND('CASH FLOW'!H139=0,BUDGET!H139=0),"",'CASH FLOW'!H139-BUDGET!H139)</f>
        <v/>
      </c>
      <c r="I139" s="22">
        <f>IF(AND('CASH FLOW'!I139=0,BUDGET!I139=0),"",'CASH FLOW'!I139-BUDGET!I139)</f>
        <v/>
      </c>
      <c r="J139" s="22">
        <f>IF(AND('CASH FLOW'!J139=0,BUDGET!J139=0),"",'CASH FLOW'!J139-BUDGET!J139)</f>
        <v/>
      </c>
      <c r="K139" s="22">
        <f>IF(AND('CASH FLOW'!K139=0,BUDGET!K139=0),"",'CASH FLOW'!K139-BUDGET!K139)</f>
        <v/>
      </c>
      <c r="L139" s="22">
        <f>IF(AND('CASH FLOW'!L139=0,BUDGET!L139=0),"",'CASH FLOW'!L139-BUDGET!L139)</f>
        <v/>
      </c>
      <c r="M139" s="22">
        <f>IF(AND('CASH FLOW'!M139=0,BUDGET!M139=0),"",'CASH FLOW'!M139-BUDGET!M139)</f>
        <v/>
      </c>
      <c r="N139" s="22">
        <f>IF(AND('CASH FLOW'!N139=0,BUDGET!N139=0),"",'CASH FLOW'!N139-BUDGET!N139)</f>
        <v/>
      </c>
      <c r="O139" s="22">
        <f>IF(AND('CASH FLOW'!O139=0,BUDGET!O139=0),"",'CASH FLOW'!O139-BUDGET!O139)</f>
        <v/>
      </c>
      <c r="Q139" s="23">
        <f>IF(BUDGET!O139=0,"",('CASH FLOW'!O139-BUDGET!O139)/ABS(BUDGET!O139))</f>
        <v/>
      </c>
    </row>
    <row r="140">
      <c r="A140" s="13">
        <f>'CASH FLOW'!A140</f>
        <v/>
      </c>
      <c r="B140" s="13">
        <f>'CASH FLOW'!B140</f>
        <v/>
      </c>
      <c r="C140" s="22">
        <f>IF(AND('CASH FLOW'!C140=0,BUDGET!C140=0),"",'CASH FLOW'!C140-BUDGET!C140)</f>
        <v/>
      </c>
      <c r="D140" s="22">
        <f>IF(AND('CASH FLOW'!D140=0,BUDGET!D140=0),"",'CASH FLOW'!D140-BUDGET!D140)</f>
        <v/>
      </c>
      <c r="E140" s="22">
        <f>IF(AND('CASH FLOW'!E140=0,BUDGET!E140=0),"",'CASH FLOW'!E140-BUDGET!E140)</f>
        <v/>
      </c>
      <c r="F140" s="22">
        <f>IF(AND('CASH FLOW'!F140=0,BUDGET!F140=0),"",'CASH FLOW'!F140-BUDGET!F140)</f>
        <v/>
      </c>
      <c r="G140" s="22">
        <f>IF(AND('CASH FLOW'!G140=0,BUDGET!G140=0),"",'CASH FLOW'!G140-BUDGET!G140)</f>
        <v/>
      </c>
      <c r="H140" s="22">
        <f>IF(AND('CASH FLOW'!H140=0,BUDGET!H140=0),"",'CASH FLOW'!H140-BUDGET!H140)</f>
        <v/>
      </c>
      <c r="I140" s="22">
        <f>IF(AND('CASH FLOW'!I140=0,BUDGET!I140=0),"",'CASH FLOW'!I140-BUDGET!I140)</f>
        <v/>
      </c>
      <c r="J140" s="22">
        <f>IF(AND('CASH FLOW'!J140=0,BUDGET!J140=0),"",'CASH FLOW'!J140-BUDGET!J140)</f>
        <v/>
      </c>
      <c r="K140" s="22">
        <f>IF(AND('CASH FLOW'!K140=0,BUDGET!K140=0),"",'CASH FLOW'!K140-BUDGET!K140)</f>
        <v/>
      </c>
      <c r="L140" s="22">
        <f>IF(AND('CASH FLOW'!L140=0,BUDGET!L140=0),"",'CASH FLOW'!L140-BUDGET!L140)</f>
        <v/>
      </c>
      <c r="M140" s="22">
        <f>IF(AND('CASH FLOW'!M140=0,BUDGET!M140=0),"",'CASH FLOW'!M140-BUDGET!M140)</f>
        <v/>
      </c>
      <c r="N140" s="22">
        <f>IF(AND('CASH FLOW'!N140=0,BUDGET!N140=0),"",'CASH FLOW'!N140-BUDGET!N140)</f>
        <v/>
      </c>
      <c r="O140" s="22">
        <f>IF(AND('CASH FLOW'!O140=0,BUDGET!O140=0),"",'CASH FLOW'!O140-BUDGET!O140)</f>
        <v/>
      </c>
      <c r="Q140" s="23">
        <f>IF(BUDGET!O140=0,"",('CASH FLOW'!O140-BUDGET!O140)/ABS(BUDGET!O140))</f>
        <v/>
      </c>
    </row>
    <row r="141">
      <c r="A141" s="13">
        <f>'CASH FLOW'!A141</f>
        <v/>
      </c>
      <c r="B141" s="13">
        <f>'CASH FLOW'!B141</f>
        <v/>
      </c>
      <c r="C141" s="22">
        <f>IF(AND('CASH FLOW'!C141=0,BUDGET!C141=0),"",'CASH FLOW'!C141-BUDGET!C141)</f>
        <v/>
      </c>
      <c r="D141" s="22">
        <f>IF(AND('CASH FLOW'!D141=0,BUDGET!D141=0),"",'CASH FLOW'!D141-BUDGET!D141)</f>
        <v/>
      </c>
      <c r="E141" s="22">
        <f>IF(AND('CASH FLOW'!E141=0,BUDGET!E141=0),"",'CASH FLOW'!E141-BUDGET!E141)</f>
        <v/>
      </c>
      <c r="F141" s="22">
        <f>IF(AND('CASH FLOW'!F141=0,BUDGET!F141=0),"",'CASH FLOW'!F141-BUDGET!F141)</f>
        <v/>
      </c>
      <c r="G141" s="22">
        <f>IF(AND('CASH FLOW'!G141=0,BUDGET!G141=0),"",'CASH FLOW'!G141-BUDGET!G141)</f>
        <v/>
      </c>
      <c r="H141" s="22">
        <f>IF(AND('CASH FLOW'!H141=0,BUDGET!H141=0),"",'CASH FLOW'!H141-BUDGET!H141)</f>
        <v/>
      </c>
      <c r="I141" s="22">
        <f>IF(AND('CASH FLOW'!I141=0,BUDGET!I141=0),"",'CASH FLOW'!I141-BUDGET!I141)</f>
        <v/>
      </c>
      <c r="J141" s="22">
        <f>IF(AND('CASH FLOW'!J141=0,BUDGET!J141=0),"",'CASH FLOW'!J141-BUDGET!J141)</f>
        <v/>
      </c>
      <c r="K141" s="22">
        <f>IF(AND('CASH FLOW'!K141=0,BUDGET!K141=0),"",'CASH FLOW'!K141-BUDGET!K141)</f>
        <v/>
      </c>
      <c r="L141" s="22">
        <f>IF(AND('CASH FLOW'!L141=0,BUDGET!L141=0),"",'CASH FLOW'!L141-BUDGET!L141)</f>
        <v/>
      </c>
      <c r="M141" s="22">
        <f>IF(AND('CASH FLOW'!M141=0,BUDGET!M141=0),"",'CASH FLOW'!M141-BUDGET!M141)</f>
        <v/>
      </c>
      <c r="N141" s="22">
        <f>IF(AND('CASH FLOW'!N141=0,BUDGET!N141=0),"",'CASH FLOW'!N141-BUDGET!N141)</f>
        <v/>
      </c>
      <c r="O141" s="22">
        <f>IF(AND('CASH FLOW'!O141=0,BUDGET!O141=0),"",'CASH FLOW'!O141-BUDGET!O141)</f>
        <v/>
      </c>
      <c r="Q141" s="23">
        <f>IF(BUDGET!O141=0,"",('CASH FLOW'!O141-BUDGET!O141)/ABS(BUDGET!O141))</f>
        <v/>
      </c>
    </row>
    <row r="142">
      <c r="A142" s="13">
        <f>'CASH FLOW'!A142</f>
        <v/>
      </c>
      <c r="B142" s="13">
        <f>'CASH FLOW'!B142</f>
        <v/>
      </c>
      <c r="C142" s="22">
        <f>IF(AND('CASH FLOW'!C142=0,BUDGET!C142=0),"",'CASH FLOW'!C142-BUDGET!C142)</f>
        <v/>
      </c>
      <c r="D142" s="22">
        <f>IF(AND('CASH FLOW'!D142=0,BUDGET!D142=0),"",'CASH FLOW'!D142-BUDGET!D142)</f>
        <v/>
      </c>
      <c r="E142" s="22">
        <f>IF(AND('CASH FLOW'!E142=0,BUDGET!E142=0),"",'CASH FLOW'!E142-BUDGET!E142)</f>
        <v/>
      </c>
      <c r="F142" s="22">
        <f>IF(AND('CASH FLOW'!F142=0,BUDGET!F142=0),"",'CASH FLOW'!F142-BUDGET!F142)</f>
        <v/>
      </c>
      <c r="G142" s="22">
        <f>IF(AND('CASH FLOW'!G142=0,BUDGET!G142=0),"",'CASH FLOW'!G142-BUDGET!G142)</f>
        <v/>
      </c>
      <c r="H142" s="22">
        <f>IF(AND('CASH FLOW'!H142=0,BUDGET!H142=0),"",'CASH FLOW'!H142-BUDGET!H142)</f>
        <v/>
      </c>
      <c r="I142" s="22">
        <f>IF(AND('CASH FLOW'!I142=0,BUDGET!I142=0),"",'CASH FLOW'!I142-BUDGET!I142)</f>
        <v/>
      </c>
      <c r="J142" s="22">
        <f>IF(AND('CASH FLOW'!J142=0,BUDGET!J142=0),"",'CASH FLOW'!J142-BUDGET!J142)</f>
        <v/>
      </c>
      <c r="K142" s="22">
        <f>IF(AND('CASH FLOW'!K142=0,BUDGET!K142=0),"",'CASH FLOW'!K142-BUDGET!K142)</f>
        <v/>
      </c>
      <c r="L142" s="22">
        <f>IF(AND('CASH FLOW'!L142=0,BUDGET!L142=0),"",'CASH FLOW'!L142-BUDGET!L142)</f>
        <v/>
      </c>
      <c r="M142" s="22">
        <f>IF(AND('CASH FLOW'!M142=0,BUDGET!M142=0),"",'CASH FLOW'!M142-BUDGET!M142)</f>
        <v/>
      </c>
      <c r="N142" s="22">
        <f>IF(AND('CASH FLOW'!N142=0,BUDGET!N142=0),"",'CASH FLOW'!N142-BUDGET!N142)</f>
        <v/>
      </c>
      <c r="O142" s="22">
        <f>IF(AND('CASH FLOW'!O142=0,BUDGET!O142=0),"",'CASH FLOW'!O142-BUDGET!O142)</f>
        <v/>
      </c>
      <c r="Q142" s="23">
        <f>IF(BUDGET!O142=0,"",('CASH FLOW'!O142-BUDGET!O142)/ABS(BUDGET!O142))</f>
        <v/>
      </c>
    </row>
    <row r="143">
      <c r="A143" s="13">
        <f>'CASH FLOW'!A143</f>
        <v/>
      </c>
      <c r="B143" s="13">
        <f>'CASH FLOW'!B143</f>
        <v/>
      </c>
      <c r="C143" s="22">
        <f>IF(AND('CASH FLOW'!C143=0,BUDGET!C143=0),"",'CASH FLOW'!C143-BUDGET!C143)</f>
        <v/>
      </c>
      <c r="D143" s="22">
        <f>IF(AND('CASH FLOW'!D143=0,BUDGET!D143=0),"",'CASH FLOW'!D143-BUDGET!D143)</f>
        <v/>
      </c>
      <c r="E143" s="22">
        <f>IF(AND('CASH FLOW'!E143=0,BUDGET!E143=0),"",'CASH FLOW'!E143-BUDGET!E143)</f>
        <v/>
      </c>
      <c r="F143" s="22">
        <f>IF(AND('CASH FLOW'!F143=0,BUDGET!F143=0),"",'CASH FLOW'!F143-BUDGET!F143)</f>
        <v/>
      </c>
      <c r="G143" s="22">
        <f>IF(AND('CASH FLOW'!G143=0,BUDGET!G143=0),"",'CASH FLOW'!G143-BUDGET!G143)</f>
        <v/>
      </c>
      <c r="H143" s="22">
        <f>IF(AND('CASH FLOW'!H143=0,BUDGET!H143=0),"",'CASH FLOW'!H143-BUDGET!H143)</f>
        <v/>
      </c>
      <c r="I143" s="22">
        <f>IF(AND('CASH FLOW'!I143=0,BUDGET!I143=0),"",'CASH FLOW'!I143-BUDGET!I143)</f>
        <v/>
      </c>
      <c r="J143" s="22">
        <f>IF(AND('CASH FLOW'!J143=0,BUDGET!J143=0),"",'CASH FLOW'!J143-BUDGET!J143)</f>
        <v/>
      </c>
      <c r="K143" s="22">
        <f>IF(AND('CASH FLOW'!K143=0,BUDGET!K143=0),"",'CASH FLOW'!K143-BUDGET!K143)</f>
        <v/>
      </c>
      <c r="L143" s="22">
        <f>IF(AND('CASH FLOW'!L143=0,BUDGET!L143=0),"",'CASH FLOW'!L143-BUDGET!L143)</f>
        <v/>
      </c>
      <c r="M143" s="22">
        <f>IF(AND('CASH FLOW'!M143=0,BUDGET!M143=0),"",'CASH FLOW'!M143-BUDGET!M143)</f>
        <v/>
      </c>
      <c r="N143" s="22">
        <f>IF(AND('CASH FLOW'!N143=0,BUDGET!N143=0),"",'CASH FLOW'!N143-BUDGET!N143)</f>
        <v/>
      </c>
      <c r="O143" s="22">
        <f>IF(AND('CASH FLOW'!O143=0,BUDGET!O143=0),"",'CASH FLOW'!O143-BUDGET!O143)</f>
        <v/>
      </c>
      <c r="Q143" s="23">
        <f>IF(BUDGET!O143=0,"",('CASH FLOW'!O143-BUDGET!O143)/ABS(BUDGET!O143))</f>
        <v/>
      </c>
    </row>
    <row r="144">
      <c r="A144" s="13">
        <f>'CASH FLOW'!A144</f>
        <v/>
      </c>
      <c r="B144" s="13">
        <f>'CASH FLOW'!B144</f>
        <v/>
      </c>
      <c r="C144" s="22">
        <f>IF(AND('CASH FLOW'!C144=0,BUDGET!C144=0),"",'CASH FLOW'!C144-BUDGET!C144)</f>
        <v/>
      </c>
      <c r="D144" s="22">
        <f>IF(AND('CASH FLOW'!D144=0,BUDGET!D144=0),"",'CASH FLOW'!D144-BUDGET!D144)</f>
        <v/>
      </c>
      <c r="E144" s="22">
        <f>IF(AND('CASH FLOW'!E144=0,BUDGET!E144=0),"",'CASH FLOW'!E144-BUDGET!E144)</f>
        <v/>
      </c>
      <c r="F144" s="22">
        <f>IF(AND('CASH FLOW'!F144=0,BUDGET!F144=0),"",'CASH FLOW'!F144-BUDGET!F144)</f>
        <v/>
      </c>
      <c r="G144" s="22">
        <f>IF(AND('CASH FLOW'!G144=0,BUDGET!G144=0),"",'CASH FLOW'!G144-BUDGET!G144)</f>
        <v/>
      </c>
      <c r="H144" s="22">
        <f>IF(AND('CASH FLOW'!H144=0,BUDGET!H144=0),"",'CASH FLOW'!H144-BUDGET!H144)</f>
        <v/>
      </c>
      <c r="I144" s="22">
        <f>IF(AND('CASH FLOW'!I144=0,BUDGET!I144=0),"",'CASH FLOW'!I144-BUDGET!I144)</f>
        <v/>
      </c>
      <c r="J144" s="22">
        <f>IF(AND('CASH FLOW'!J144=0,BUDGET!J144=0),"",'CASH FLOW'!J144-BUDGET!J144)</f>
        <v/>
      </c>
      <c r="K144" s="22">
        <f>IF(AND('CASH FLOW'!K144=0,BUDGET!K144=0),"",'CASH FLOW'!K144-BUDGET!K144)</f>
        <v/>
      </c>
      <c r="L144" s="22">
        <f>IF(AND('CASH FLOW'!L144=0,BUDGET!L144=0),"",'CASH FLOW'!L144-BUDGET!L144)</f>
        <v/>
      </c>
      <c r="M144" s="22">
        <f>IF(AND('CASH FLOW'!M144=0,BUDGET!M144=0),"",'CASH FLOW'!M144-BUDGET!M144)</f>
        <v/>
      </c>
      <c r="N144" s="22">
        <f>IF(AND('CASH FLOW'!N144=0,BUDGET!N144=0),"",'CASH FLOW'!N144-BUDGET!N144)</f>
        <v/>
      </c>
      <c r="O144" s="22">
        <f>IF(AND('CASH FLOW'!O144=0,BUDGET!O144=0),"",'CASH FLOW'!O144-BUDGET!O144)</f>
        <v/>
      </c>
      <c r="Q144" s="23">
        <f>IF(BUDGET!O144=0,"",('CASH FLOW'!O144-BUDGET!O144)/ABS(BUDGET!O144))</f>
        <v/>
      </c>
    </row>
    <row r="145">
      <c r="A145" s="13">
        <f>'CASH FLOW'!A145</f>
        <v/>
      </c>
      <c r="B145" s="13">
        <f>'CASH FLOW'!B145</f>
        <v/>
      </c>
      <c r="C145" s="22">
        <f>IF(AND('CASH FLOW'!C145=0,BUDGET!C145=0),"",'CASH FLOW'!C145-BUDGET!C145)</f>
        <v/>
      </c>
      <c r="D145" s="22">
        <f>IF(AND('CASH FLOW'!D145=0,BUDGET!D145=0),"",'CASH FLOW'!D145-BUDGET!D145)</f>
        <v/>
      </c>
      <c r="E145" s="22">
        <f>IF(AND('CASH FLOW'!E145=0,BUDGET!E145=0),"",'CASH FLOW'!E145-BUDGET!E145)</f>
        <v/>
      </c>
      <c r="F145" s="22">
        <f>IF(AND('CASH FLOW'!F145=0,BUDGET!F145=0),"",'CASH FLOW'!F145-BUDGET!F145)</f>
        <v/>
      </c>
      <c r="G145" s="22">
        <f>IF(AND('CASH FLOW'!G145=0,BUDGET!G145=0),"",'CASH FLOW'!G145-BUDGET!G145)</f>
        <v/>
      </c>
      <c r="H145" s="22">
        <f>IF(AND('CASH FLOW'!H145=0,BUDGET!H145=0),"",'CASH FLOW'!H145-BUDGET!H145)</f>
        <v/>
      </c>
      <c r="I145" s="22">
        <f>IF(AND('CASH FLOW'!I145=0,BUDGET!I145=0),"",'CASH FLOW'!I145-BUDGET!I145)</f>
        <v/>
      </c>
      <c r="J145" s="22">
        <f>IF(AND('CASH FLOW'!J145=0,BUDGET!J145=0),"",'CASH FLOW'!J145-BUDGET!J145)</f>
        <v/>
      </c>
      <c r="K145" s="22">
        <f>IF(AND('CASH FLOW'!K145=0,BUDGET!K145=0),"",'CASH FLOW'!K145-BUDGET!K145)</f>
        <v/>
      </c>
      <c r="L145" s="22">
        <f>IF(AND('CASH FLOW'!L145=0,BUDGET!L145=0),"",'CASH FLOW'!L145-BUDGET!L145)</f>
        <v/>
      </c>
      <c r="M145" s="22">
        <f>IF(AND('CASH FLOW'!M145=0,BUDGET!M145=0),"",'CASH FLOW'!M145-BUDGET!M145)</f>
        <v/>
      </c>
      <c r="N145" s="22">
        <f>IF(AND('CASH FLOW'!N145=0,BUDGET!N145=0),"",'CASH FLOW'!N145-BUDGET!N145)</f>
        <v/>
      </c>
      <c r="O145" s="22">
        <f>IF(AND('CASH FLOW'!O145=0,BUDGET!O145=0),"",'CASH FLOW'!O145-BUDGET!O145)</f>
        <v/>
      </c>
      <c r="Q145" s="23">
        <f>IF(BUDGET!O145=0,"",('CASH FLOW'!O145-BUDGET!O145)/ABS(BUDGET!O145))</f>
        <v/>
      </c>
    </row>
    <row r="146">
      <c r="A146" s="13">
        <f>'CASH FLOW'!A146</f>
        <v/>
      </c>
      <c r="B146" s="13">
        <f>'CASH FLOW'!B146</f>
        <v/>
      </c>
      <c r="C146" s="22">
        <f>IF(AND('CASH FLOW'!C146=0,BUDGET!C146=0),"",'CASH FLOW'!C146-BUDGET!C146)</f>
        <v/>
      </c>
      <c r="D146" s="22">
        <f>IF(AND('CASH FLOW'!D146=0,BUDGET!D146=0),"",'CASH FLOW'!D146-BUDGET!D146)</f>
        <v/>
      </c>
      <c r="E146" s="22">
        <f>IF(AND('CASH FLOW'!E146=0,BUDGET!E146=0),"",'CASH FLOW'!E146-BUDGET!E146)</f>
        <v/>
      </c>
      <c r="F146" s="22">
        <f>IF(AND('CASH FLOW'!F146=0,BUDGET!F146=0),"",'CASH FLOW'!F146-BUDGET!F146)</f>
        <v/>
      </c>
      <c r="G146" s="22">
        <f>IF(AND('CASH FLOW'!G146=0,BUDGET!G146=0),"",'CASH FLOW'!G146-BUDGET!G146)</f>
        <v/>
      </c>
      <c r="H146" s="22">
        <f>IF(AND('CASH FLOW'!H146=0,BUDGET!H146=0),"",'CASH FLOW'!H146-BUDGET!H146)</f>
        <v/>
      </c>
      <c r="I146" s="22">
        <f>IF(AND('CASH FLOW'!I146=0,BUDGET!I146=0),"",'CASH FLOW'!I146-BUDGET!I146)</f>
        <v/>
      </c>
      <c r="J146" s="22">
        <f>IF(AND('CASH FLOW'!J146=0,BUDGET!J146=0),"",'CASH FLOW'!J146-BUDGET!J146)</f>
        <v/>
      </c>
      <c r="K146" s="22">
        <f>IF(AND('CASH FLOW'!K146=0,BUDGET!K146=0),"",'CASH FLOW'!K146-BUDGET!K146)</f>
        <v/>
      </c>
      <c r="L146" s="22">
        <f>IF(AND('CASH FLOW'!L146=0,BUDGET!L146=0),"",'CASH FLOW'!L146-BUDGET!L146)</f>
        <v/>
      </c>
      <c r="M146" s="22">
        <f>IF(AND('CASH FLOW'!M146=0,BUDGET!M146=0),"",'CASH FLOW'!M146-BUDGET!M146)</f>
        <v/>
      </c>
      <c r="N146" s="22">
        <f>IF(AND('CASH FLOW'!N146=0,BUDGET!N146=0),"",'CASH FLOW'!N146-BUDGET!N146)</f>
        <v/>
      </c>
      <c r="O146" s="22">
        <f>IF(AND('CASH FLOW'!O146=0,BUDGET!O146=0),"",'CASH FLOW'!O146-BUDGET!O146)</f>
        <v/>
      </c>
      <c r="Q146" s="23">
        <f>IF(BUDGET!O146=0,"",('CASH FLOW'!O146-BUDGET!O146)/ABS(BUDGET!O146))</f>
        <v/>
      </c>
    </row>
    <row r="147">
      <c r="A147" s="13">
        <f>'CASH FLOW'!A147</f>
        <v/>
      </c>
      <c r="B147" s="13">
        <f>'CASH FLOW'!B147</f>
        <v/>
      </c>
      <c r="C147" s="22">
        <f>IF(AND('CASH FLOW'!C147=0,BUDGET!C147=0),"",'CASH FLOW'!C147-BUDGET!C147)</f>
        <v/>
      </c>
      <c r="D147" s="22">
        <f>IF(AND('CASH FLOW'!D147=0,BUDGET!D147=0),"",'CASH FLOW'!D147-BUDGET!D147)</f>
        <v/>
      </c>
      <c r="E147" s="22">
        <f>IF(AND('CASH FLOW'!E147=0,BUDGET!E147=0),"",'CASH FLOW'!E147-BUDGET!E147)</f>
        <v/>
      </c>
      <c r="F147" s="22">
        <f>IF(AND('CASH FLOW'!F147=0,BUDGET!F147=0),"",'CASH FLOW'!F147-BUDGET!F147)</f>
        <v/>
      </c>
      <c r="G147" s="22">
        <f>IF(AND('CASH FLOW'!G147=0,BUDGET!G147=0),"",'CASH FLOW'!G147-BUDGET!G147)</f>
        <v/>
      </c>
      <c r="H147" s="22">
        <f>IF(AND('CASH FLOW'!H147=0,BUDGET!H147=0),"",'CASH FLOW'!H147-BUDGET!H147)</f>
        <v/>
      </c>
      <c r="I147" s="22">
        <f>IF(AND('CASH FLOW'!I147=0,BUDGET!I147=0),"",'CASH FLOW'!I147-BUDGET!I147)</f>
        <v/>
      </c>
      <c r="J147" s="22">
        <f>IF(AND('CASH FLOW'!J147=0,BUDGET!J147=0),"",'CASH FLOW'!J147-BUDGET!J147)</f>
        <v/>
      </c>
      <c r="K147" s="22">
        <f>IF(AND('CASH FLOW'!K147=0,BUDGET!K147=0),"",'CASH FLOW'!K147-BUDGET!K147)</f>
        <v/>
      </c>
      <c r="L147" s="22">
        <f>IF(AND('CASH FLOW'!L147=0,BUDGET!L147=0),"",'CASH FLOW'!L147-BUDGET!L147)</f>
        <v/>
      </c>
      <c r="M147" s="22">
        <f>IF(AND('CASH FLOW'!M147=0,BUDGET!M147=0),"",'CASH FLOW'!M147-BUDGET!M147)</f>
        <v/>
      </c>
      <c r="N147" s="22">
        <f>IF(AND('CASH FLOW'!N147=0,BUDGET!N147=0),"",'CASH FLOW'!N147-BUDGET!N147)</f>
        <v/>
      </c>
      <c r="O147" s="22">
        <f>IF(AND('CASH FLOW'!O147=0,BUDGET!O147=0),"",'CASH FLOW'!O147-BUDGET!O147)</f>
        <v/>
      </c>
      <c r="Q147" s="23">
        <f>IF(BUDGET!O147=0,"",('CASH FLOW'!O147-BUDGET!O147)/ABS(BUDGET!O147))</f>
        <v/>
      </c>
    </row>
    <row r="148">
      <c r="A148" s="13">
        <f>'CASH FLOW'!A148</f>
        <v/>
      </c>
      <c r="B148" s="13">
        <f>'CASH FLOW'!B148</f>
        <v/>
      </c>
      <c r="C148" s="22">
        <f>IF(AND('CASH FLOW'!C148=0,BUDGET!C148=0),"",'CASH FLOW'!C148-BUDGET!C148)</f>
        <v/>
      </c>
      <c r="D148" s="22">
        <f>IF(AND('CASH FLOW'!D148=0,BUDGET!D148=0),"",'CASH FLOW'!D148-BUDGET!D148)</f>
        <v/>
      </c>
      <c r="E148" s="22">
        <f>IF(AND('CASH FLOW'!E148=0,BUDGET!E148=0),"",'CASH FLOW'!E148-BUDGET!E148)</f>
        <v/>
      </c>
      <c r="F148" s="22">
        <f>IF(AND('CASH FLOW'!F148=0,BUDGET!F148=0),"",'CASH FLOW'!F148-BUDGET!F148)</f>
        <v/>
      </c>
      <c r="G148" s="22">
        <f>IF(AND('CASH FLOW'!G148=0,BUDGET!G148=0),"",'CASH FLOW'!G148-BUDGET!G148)</f>
        <v/>
      </c>
      <c r="H148" s="22">
        <f>IF(AND('CASH FLOW'!H148=0,BUDGET!H148=0),"",'CASH FLOW'!H148-BUDGET!H148)</f>
        <v/>
      </c>
      <c r="I148" s="22">
        <f>IF(AND('CASH FLOW'!I148=0,BUDGET!I148=0),"",'CASH FLOW'!I148-BUDGET!I148)</f>
        <v/>
      </c>
      <c r="J148" s="22">
        <f>IF(AND('CASH FLOW'!J148=0,BUDGET!J148=0),"",'CASH FLOW'!J148-BUDGET!J148)</f>
        <v/>
      </c>
      <c r="K148" s="22">
        <f>IF(AND('CASH FLOW'!K148=0,BUDGET!K148=0),"",'CASH FLOW'!K148-BUDGET!K148)</f>
        <v/>
      </c>
      <c r="L148" s="22">
        <f>IF(AND('CASH FLOW'!L148=0,BUDGET!L148=0),"",'CASH FLOW'!L148-BUDGET!L148)</f>
        <v/>
      </c>
      <c r="M148" s="22">
        <f>IF(AND('CASH FLOW'!M148=0,BUDGET!M148=0),"",'CASH FLOW'!M148-BUDGET!M148)</f>
        <v/>
      </c>
      <c r="N148" s="22">
        <f>IF(AND('CASH FLOW'!N148=0,BUDGET!N148=0),"",'CASH FLOW'!N148-BUDGET!N148)</f>
        <v/>
      </c>
      <c r="O148" s="22">
        <f>IF(AND('CASH FLOW'!O148=0,BUDGET!O148=0),"",'CASH FLOW'!O148-BUDGET!O148)</f>
        <v/>
      </c>
      <c r="Q148" s="23">
        <f>IF(BUDGET!O148=0,"",('CASH FLOW'!O148-BUDGET!O148)/ABS(BUDGET!O148))</f>
        <v/>
      </c>
    </row>
    <row r="149">
      <c r="A149" s="13">
        <f>'CASH FLOW'!A149</f>
        <v/>
      </c>
      <c r="B149" s="13">
        <f>'CASH FLOW'!B149</f>
        <v/>
      </c>
      <c r="C149" s="22">
        <f>IF(AND('CASH FLOW'!C149=0,BUDGET!C149=0),"",'CASH FLOW'!C149-BUDGET!C149)</f>
        <v/>
      </c>
      <c r="D149" s="22">
        <f>IF(AND('CASH FLOW'!D149=0,BUDGET!D149=0),"",'CASH FLOW'!D149-BUDGET!D149)</f>
        <v/>
      </c>
      <c r="E149" s="22">
        <f>IF(AND('CASH FLOW'!E149=0,BUDGET!E149=0),"",'CASH FLOW'!E149-BUDGET!E149)</f>
        <v/>
      </c>
      <c r="F149" s="22">
        <f>IF(AND('CASH FLOW'!F149=0,BUDGET!F149=0),"",'CASH FLOW'!F149-BUDGET!F149)</f>
        <v/>
      </c>
      <c r="G149" s="22">
        <f>IF(AND('CASH FLOW'!G149=0,BUDGET!G149=0),"",'CASH FLOW'!G149-BUDGET!G149)</f>
        <v/>
      </c>
      <c r="H149" s="22">
        <f>IF(AND('CASH FLOW'!H149=0,BUDGET!H149=0),"",'CASH FLOW'!H149-BUDGET!H149)</f>
        <v/>
      </c>
      <c r="I149" s="22">
        <f>IF(AND('CASH FLOW'!I149=0,BUDGET!I149=0),"",'CASH FLOW'!I149-BUDGET!I149)</f>
        <v/>
      </c>
      <c r="J149" s="22">
        <f>IF(AND('CASH FLOW'!J149=0,BUDGET!J149=0),"",'CASH FLOW'!J149-BUDGET!J149)</f>
        <v/>
      </c>
      <c r="K149" s="22">
        <f>IF(AND('CASH FLOW'!K149=0,BUDGET!K149=0),"",'CASH FLOW'!K149-BUDGET!K149)</f>
        <v/>
      </c>
      <c r="L149" s="22">
        <f>IF(AND('CASH FLOW'!L149=0,BUDGET!L149=0),"",'CASH FLOW'!L149-BUDGET!L149)</f>
        <v/>
      </c>
      <c r="M149" s="22">
        <f>IF(AND('CASH FLOW'!M149=0,BUDGET!M149=0),"",'CASH FLOW'!M149-BUDGET!M149)</f>
        <v/>
      </c>
      <c r="N149" s="22">
        <f>IF(AND('CASH FLOW'!N149=0,BUDGET!N149=0),"",'CASH FLOW'!N149-BUDGET!N149)</f>
        <v/>
      </c>
      <c r="O149" s="22">
        <f>IF(AND('CASH FLOW'!O149=0,BUDGET!O149=0),"",'CASH FLOW'!O149-BUDGET!O149)</f>
        <v/>
      </c>
      <c r="Q149" s="23">
        <f>IF(BUDGET!O149=0,"",('CASH FLOW'!O149-BUDGET!O149)/ABS(BUDGET!O149))</f>
        <v/>
      </c>
    </row>
    <row r="150">
      <c r="A150" s="13">
        <f>'CASH FLOW'!A150</f>
        <v/>
      </c>
      <c r="B150" s="13">
        <f>'CASH FLOW'!B150</f>
        <v/>
      </c>
      <c r="C150" s="22">
        <f>IF(AND('CASH FLOW'!C150=0,BUDGET!C150=0),"",'CASH FLOW'!C150-BUDGET!C150)</f>
        <v/>
      </c>
      <c r="D150" s="22">
        <f>IF(AND('CASH FLOW'!D150=0,BUDGET!D150=0),"",'CASH FLOW'!D150-BUDGET!D150)</f>
        <v/>
      </c>
      <c r="E150" s="22">
        <f>IF(AND('CASH FLOW'!E150=0,BUDGET!E150=0),"",'CASH FLOW'!E150-BUDGET!E150)</f>
        <v/>
      </c>
      <c r="F150" s="22">
        <f>IF(AND('CASH FLOW'!F150=0,BUDGET!F150=0),"",'CASH FLOW'!F150-BUDGET!F150)</f>
        <v/>
      </c>
      <c r="G150" s="22">
        <f>IF(AND('CASH FLOW'!G150=0,BUDGET!G150=0),"",'CASH FLOW'!G150-BUDGET!G150)</f>
        <v/>
      </c>
      <c r="H150" s="22">
        <f>IF(AND('CASH FLOW'!H150=0,BUDGET!H150=0),"",'CASH FLOW'!H150-BUDGET!H150)</f>
        <v/>
      </c>
      <c r="I150" s="22">
        <f>IF(AND('CASH FLOW'!I150=0,BUDGET!I150=0),"",'CASH FLOW'!I150-BUDGET!I150)</f>
        <v/>
      </c>
      <c r="J150" s="22">
        <f>IF(AND('CASH FLOW'!J150=0,BUDGET!J150=0),"",'CASH FLOW'!J150-BUDGET!J150)</f>
        <v/>
      </c>
      <c r="K150" s="22">
        <f>IF(AND('CASH FLOW'!K150=0,BUDGET!K150=0),"",'CASH FLOW'!K150-BUDGET!K150)</f>
        <v/>
      </c>
      <c r="L150" s="22">
        <f>IF(AND('CASH FLOW'!L150=0,BUDGET!L150=0),"",'CASH FLOW'!L150-BUDGET!L150)</f>
        <v/>
      </c>
      <c r="M150" s="22">
        <f>IF(AND('CASH FLOW'!M150=0,BUDGET!M150=0),"",'CASH FLOW'!M150-BUDGET!M150)</f>
        <v/>
      </c>
      <c r="N150" s="22">
        <f>IF(AND('CASH FLOW'!N150=0,BUDGET!N150=0),"",'CASH FLOW'!N150-BUDGET!N150)</f>
        <v/>
      </c>
      <c r="O150" s="22">
        <f>IF(AND('CASH FLOW'!O150=0,BUDGET!O150=0),"",'CASH FLOW'!O150-BUDGET!O150)</f>
        <v/>
      </c>
      <c r="Q150" s="23">
        <f>IF(BUDGET!O150=0,"",('CASH FLOW'!O150-BUDGET!O150)/ABS(BUDGET!O150))</f>
        <v/>
      </c>
    </row>
    <row r="151">
      <c r="A151" s="13">
        <f>'CASH FLOW'!A151</f>
        <v/>
      </c>
      <c r="B151" s="13">
        <f>'CASH FLOW'!B151</f>
        <v/>
      </c>
      <c r="C151" s="22">
        <f>IF(AND('CASH FLOW'!C151=0,BUDGET!C151=0),"",'CASH FLOW'!C151-BUDGET!C151)</f>
        <v/>
      </c>
      <c r="D151" s="22">
        <f>IF(AND('CASH FLOW'!D151=0,BUDGET!D151=0),"",'CASH FLOW'!D151-BUDGET!D151)</f>
        <v/>
      </c>
      <c r="E151" s="22">
        <f>IF(AND('CASH FLOW'!E151=0,BUDGET!E151=0),"",'CASH FLOW'!E151-BUDGET!E151)</f>
        <v/>
      </c>
      <c r="F151" s="22">
        <f>IF(AND('CASH FLOW'!F151=0,BUDGET!F151=0),"",'CASH FLOW'!F151-BUDGET!F151)</f>
        <v/>
      </c>
      <c r="G151" s="22">
        <f>IF(AND('CASH FLOW'!G151=0,BUDGET!G151=0),"",'CASH FLOW'!G151-BUDGET!G151)</f>
        <v/>
      </c>
      <c r="H151" s="22">
        <f>IF(AND('CASH FLOW'!H151=0,BUDGET!H151=0),"",'CASH FLOW'!H151-BUDGET!H151)</f>
        <v/>
      </c>
      <c r="I151" s="22">
        <f>IF(AND('CASH FLOW'!I151=0,BUDGET!I151=0),"",'CASH FLOW'!I151-BUDGET!I151)</f>
        <v/>
      </c>
      <c r="J151" s="22">
        <f>IF(AND('CASH FLOW'!J151=0,BUDGET!J151=0),"",'CASH FLOW'!J151-BUDGET!J151)</f>
        <v/>
      </c>
      <c r="K151" s="22">
        <f>IF(AND('CASH FLOW'!K151=0,BUDGET!K151=0),"",'CASH FLOW'!K151-BUDGET!K151)</f>
        <v/>
      </c>
      <c r="L151" s="22">
        <f>IF(AND('CASH FLOW'!L151=0,BUDGET!L151=0),"",'CASH FLOW'!L151-BUDGET!L151)</f>
        <v/>
      </c>
      <c r="M151" s="22">
        <f>IF(AND('CASH FLOW'!M151=0,BUDGET!M151=0),"",'CASH FLOW'!M151-BUDGET!M151)</f>
        <v/>
      </c>
      <c r="N151" s="22">
        <f>IF(AND('CASH FLOW'!N151=0,BUDGET!N151=0),"",'CASH FLOW'!N151-BUDGET!N151)</f>
        <v/>
      </c>
      <c r="O151" s="22">
        <f>IF(AND('CASH FLOW'!O151=0,BUDGET!O151=0),"",'CASH FLOW'!O151-BUDGET!O151)</f>
        <v/>
      </c>
      <c r="Q151" s="23">
        <f>IF(BUDGET!O151=0,"",('CASH FLOW'!O151-BUDGET!O151)/ABS(BUDGET!O151))</f>
        <v/>
      </c>
    </row>
    <row r="152">
      <c r="A152" s="13">
        <f>'CASH FLOW'!A152</f>
        <v/>
      </c>
      <c r="B152" s="13">
        <f>'CASH FLOW'!B152</f>
        <v/>
      </c>
      <c r="C152" s="22">
        <f>IF(AND('CASH FLOW'!C152=0,BUDGET!C152=0),"",'CASH FLOW'!C152-BUDGET!C152)</f>
        <v/>
      </c>
      <c r="D152" s="22">
        <f>IF(AND('CASH FLOW'!D152=0,BUDGET!D152=0),"",'CASH FLOW'!D152-BUDGET!D152)</f>
        <v/>
      </c>
      <c r="E152" s="22">
        <f>IF(AND('CASH FLOW'!E152=0,BUDGET!E152=0),"",'CASH FLOW'!E152-BUDGET!E152)</f>
        <v/>
      </c>
      <c r="F152" s="22">
        <f>IF(AND('CASH FLOW'!F152=0,BUDGET!F152=0),"",'CASH FLOW'!F152-BUDGET!F152)</f>
        <v/>
      </c>
      <c r="G152" s="22">
        <f>IF(AND('CASH FLOW'!G152=0,BUDGET!G152=0),"",'CASH FLOW'!G152-BUDGET!G152)</f>
        <v/>
      </c>
      <c r="H152" s="22">
        <f>IF(AND('CASH FLOW'!H152=0,BUDGET!H152=0),"",'CASH FLOW'!H152-BUDGET!H152)</f>
        <v/>
      </c>
      <c r="I152" s="22">
        <f>IF(AND('CASH FLOW'!I152=0,BUDGET!I152=0),"",'CASH FLOW'!I152-BUDGET!I152)</f>
        <v/>
      </c>
      <c r="J152" s="22">
        <f>IF(AND('CASH FLOW'!J152=0,BUDGET!J152=0),"",'CASH FLOW'!J152-BUDGET!J152)</f>
        <v/>
      </c>
      <c r="K152" s="22">
        <f>IF(AND('CASH FLOW'!K152=0,BUDGET!K152=0),"",'CASH FLOW'!K152-BUDGET!K152)</f>
        <v/>
      </c>
      <c r="L152" s="22">
        <f>IF(AND('CASH FLOW'!L152=0,BUDGET!L152=0),"",'CASH FLOW'!L152-BUDGET!L152)</f>
        <v/>
      </c>
      <c r="M152" s="22">
        <f>IF(AND('CASH FLOW'!M152=0,BUDGET!M152=0),"",'CASH FLOW'!M152-BUDGET!M152)</f>
        <v/>
      </c>
      <c r="N152" s="22">
        <f>IF(AND('CASH FLOW'!N152=0,BUDGET!N152=0),"",'CASH FLOW'!N152-BUDGET!N152)</f>
        <v/>
      </c>
      <c r="O152" s="22">
        <f>IF(AND('CASH FLOW'!O152=0,BUDGET!O152=0),"",'CASH FLOW'!O152-BUDGET!O152)</f>
        <v/>
      </c>
      <c r="Q152" s="23">
        <f>IF(BUDGET!O152=0,"",('CASH FLOW'!O152-BUDGET!O152)/ABS(BUDGET!O152))</f>
        <v/>
      </c>
    </row>
    <row r="153">
      <c r="A153" s="13">
        <f>'CASH FLOW'!A153</f>
        <v/>
      </c>
      <c r="B153" s="13">
        <f>'CASH FLOW'!B153</f>
        <v/>
      </c>
      <c r="C153" s="22">
        <f>IF(AND('CASH FLOW'!C153=0,BUDGET!C153=0),"",'CASH FLOW'!C153-BUDGET!C153)</f>
        <v/>
      </c>
      <c r="D153" s="22">
        <f>IF(AND('CASH FLOW'!D153=0,BUDGET!D153=0),"",'CASH FLOW'!D153-BUDGET!D153)</f>
        <v/>
      </c>
      <c r="E153" s="22">
        <f>IF(AND('CASH FLOW'!E153=0,BUDGET!E153=0),"",'CASH FLOW'!E153-BUDGET!E153)</f>
        <v/>
      </c>
      <c r="F153" s="22">
        <f>IF(AND('CASH FLOW'!F153=0,BUDGET!F153=0),"",'CASH FLOW'!F153-BUDGET!F153)</f>
        <v/>
      </c>
      <c r="G153" s="22">
        <f>IF(AND('CASH FLOW'!G153=0,BUDGET!G153=0),"",'CASH FLOW'!G153-BUDGET!G153)</f>
        <v/>
      </c>
      <c r="H153" s="22">
        <f>IF(AND('CASH FLOW'!H153=0,BUDGET!H153=0),"",'CASH FLOW'!H153-BUDGET!H153)</f>
        <v/>
      </c>
      <c r="I153" s="22">
        <f>IF(AND('CASH FLOW'!I153=0,BUDGET!I153=0),"",'CASH FLOW'!I153-BUDGET!I153)</f>
        <v/>
      </c>
      <c r="J153" s="22">
        <f>IF(AND('CASH FLOW'!J153=0,BUDGET!J153=0),"",'CASH FLOW'!J153-BUDGET!J153)</f>
        <v/>
      </c>
      <c r="K153" s="22">
        <f>IF(AND('CASH FLOW'!K153=0,BUDGET!K153=0),"",'CASH FLOW'!K153-BUDGET!K153)</f>
        <v/>
      </c>
      <c r="L153" s="22">
        <f>IF(AND('CASH FLOW'!L153=0,BUDGET!L153=0),"",'CASH FLOW'!L153-BUDGET!L153)</f>
        <v/>
      </c>
      <c r="M153" s="22">
        <f>IF(AND('CASH FLOW'!M153=0,BUDGET!M153=0),"",'CASH FLOW'!M153-BUDGET!M153)</f>
        <v/>
      </c>
      <c r="N153" s="22">
        <f>IF(AND('CASH FLOW'!N153=0,BUDGET!N153=0),"",'CASH FLOW'!N153-BUDGET!N153)</f>
        <v/>
      </c>
      <c r="O153" s="22">
        <f>IF(AND('CASH FLOW'!O153=0,BUDGET!O153=0),"",'CASH FLOW'!O153-BUDGET!O153)</f>
        <v/>
      </c>
      <c r="Q153" s="23">
        <f>IF(BUDGET!O153=0,"",('CASH FLOW'!O153-BUDGET!O153)/ABS(BUDGET!O153))</f>
        <v/>
      </c>
    </row>
    <row r="154">
      <c r="A154" s="13">
        <f>'CASH FLOW'!A154</f>
        <v/>
      </c>
      <c r="B154" s="13">
        <f>'CASH FLOW'!B154</f>
        <v/>
      </c>
      <c r="C154" s="22">
        <f>IF(AND('CASH FLOW'!C154=0,BUDGET!C154=0),"",'CASH FLOW'!C154-BUDGET!C154)</f>
        <v/>
      </c>
      <c r="D154" s="22">
        <f>IF(AND('CASH FLOW'!D154=0,BUDGET!D154=0),"",'CASH FLOW'!D154-BUDGET!D154)</f>
        <v/>
      </c>
      <c r="E154" s="22">
        <f>IF(AND('CASH FLOW'!E154=0,BUDGET!E154=0),"",'CASH FLOW'!E154-BUDGET!E154)</f>
        <v/>
      </c>
      <c r="F154" s="22">
        <f>IF(AND('CASH FLOW'!F154=0,BUDGET!F154=0),"",'CASH FLOW'!F154-BUDGET!F154)</f>
        <v/>
      </c>
      <c r="G154" s="22">
        <f>IF(AND('CASH FLOW'!G154=0,BUDGET!G154=0),"",'CASH FLOW'!G154-BUDGET!G154)</f>
        <v/>
      </c>
      <c r="H154" s="22">
        <f>IF(AND('CASH FLOW'!H154=0,BUDGET!H154=0),"",'CASH FLOW'!H154-BUDGET!H154)</f>
        <v/>
      </c>
      <c r="I154" s="22">
        <f>IF(AND('CASH FLOW'!I154=0,BUDGET!I154=0),"",'CASH FLOW'!I154-BUDGET!I154)</f>
        <v/>
      </c>
      <c r="J154" s="22">
        <f>IF(AND('CASH FLOW'!J154=0,BUDGET!J154=0),"",'CASH FLOW'!J154-BUDGET!J154)</f>
        <v/>
      </c>
      <c r="K154" s="22">
        <f>IF(AND('CASH FLOW'!K154=0,BUDGET!K154=0),"",'CASH FLOW'!K154-BUDGET!K154)</f>
        <v/>
      </c>
      <c r="L154" s="22">
        <f>IF(AND('CASH FLOW'!L154=0,BUDGET!L154=0),"",'CASH FLOW'!L154-BUDGET!L154)</f>
        <v/>
      </c>
      <c r="M154" s="22">
        <f>IF(AND('CASH FLOW'!M154=0,BUDGET!M154=0),"",'CASH FLOW'!M154-BUDGET!M154)</f>
        <v/>
      </c>
      <c r="N154" s="22">
        <f>IF(AND('CASH FLOW'!N154=0,BUDGET!N154=0),"",'CASH FLOW'!N154-BUDGET!N154)</f>
        <v/>
      </c>
      <c r="O154" s="22">
        <f>IF(AND('CASH FLOW'!O154=0,BUDGET!O154=0),"",'CASH FLOW'!O154-BUDGET!O154)</f>
        <v/>
      </c>
      <c r="Q154" s="23">
        <f>IF(BUDGET!O154=0,"",('CASH FLOW'!O154-BUDGET!O154)/ABS(BUDGET!O154))</f>
        <v/>
      </c>
    </row>
    <row r="155">
      <c r="A155" s="13">
        <f>'CASH FLOW'!A155</f>
        <v/>
      </c>
      <c r="B155" s="13">
        <f>'CASH FLOW'!B155</f>
        <v/>
      </c>
      <c r="C155" s="22">
        <f>IF(AND('CASH FLOW'!C155=0,BUDGET!C155=0),"",'CASH FLOW'!C155-BUDGET!C155)</f>
        <v/>
      </c>
      <c r="D155" s="22">
        <f>IF(AND('CASH FLOW'!D155=0,BUDGET!D155=0),"",'CASH FLOW'!D155-BUDGET!D155)</f>
        <v/>
      </c>
      <c r="E155" s="22">
        <f>IF(AND('CASH FLOW'!E155=0,BUDGET!E155=0),"",'CASH FLOW'!E155-BUDGET!E155)</f>
        <v/>
      </c>
      <c r="F155" s="22">
        <f>IF(AND('CASH FLOW'!F155=0,BUDGET!F155=0),"",'CASH FLOW'!F155-BUDGET!F155)</f>
        <v/>
      </c>
      <c r="G155" s="22">
        <f>IF(AND('CASH FLOW'!G155=0,BUDGET!G155=0),"",'CASH FLOW'!G155-BUDGET!G155)</f>
        <v/>
      </c>
      <c r="H155" s="22">
        <f>IF(AND('CASH FLOW'!H155=0,BUDGET!H155=0),"",'CASH FLOW'!H155-BUDGET!H155)</f>
        <v/>
      </c>
      <c r="I155" s="22">
        <f>IF(AND('CASH FLOW'!I155=0,BUDGET!I155=0),"",'CASH FLOW'!I155-BUDGET!I155)</f>
        <v/>
      </c>
      <c r="J155" s="22">
        <f>IF(AND('CASH FLOW'!J155=0,BUDGET!J155=0),"",'CASH FLOW'!J155-BUDGET!J155)</f>
        <v/>
      </c>
      <c r="K155" s="22">
        <f>IF(AND('CASH FLOW'!K155=0,BUDGET!K155=0),"",'CASH FLOW'!K155-BUDGET!K155)</f>
        <v/>
      </c>
      <c r="L155" s="22">
        <f>IF(AND('CASH FLOW'!L155=0,BUDGET!L155=0),"",'CASH FLOW'!L155-BUDGET!L155)</f>
        <v/>
      </c>
      <c r="M155" s="22">
        <f>IF(AND('CASH FLOW'!M155=0,BUDGET!M155=0),"",'CASH FLOW'!M155-BUDGET!M155)</f>
        <v/>
      </c>
      <c r="N155" s="22">
        <f>IF(AND('CASH FLOW'!N155=0,BUDGET!N155=0),"",'CASH FLOW'!N155-BUDGET!N155)</f>
        <v/>
      </c>
      <c r="O155" s="22">
        <f>IF(AND('CASH FLOW'!O155=0,BUDGET!O155=0),"",'CASH FLOW'!O155-BUDGET!O155)</f>
        <v/>
      </c>
      <c r="Q155" s="23">
        <f>IF(BUDGET!O155=0,"",('CASH FLOW'!O155-BUDGET!O155)/ABS(BUDGET!O155))</f>
        <v/>
      </c>
    </row>
    <row r="156">
      <c r="A156" s="13">
        <f>'CASH FLOW'!A156</f>
        <v/>
      </c>
      <c r="B156" s="13">
        <f>'CASH FLOW'!B156</f>
        <v/>
      </c>
      <c r="C156" s="22">
        <f>IF(AND('CASH FLOW'!C156=0,BUDGET!C156=0),"",'CASH FLOW'!C156-BUDGET!C156)</f>
        <v/>
      </c>
      <c r="D156" s="22">
        <f>IF(AND('CASH FLOW'!D156=0,BUDGET!D156=0),"",'CASH FLOW'!D156-BUDGET!D156)</f>
        <v/>
      </c>
      <c r="E156" s="22">
        <f>IF(AND('CASH FLOW'!E156=0,BUDGET!E156=0),"",'CASH FLOW'!E156-BUDGET!E156)</f>
        <v/>
      </c>
      <c r="F156" s="22">
        <f>IF(AND('CASH FLOW'!F156=0,BUDGET!F156=0),"",'CASH FLOW'!F156-BUDGET!F156)</f>
        <v/>
      </c>
      <c r="G156" s="22">
        <f>IF(AND('CASH FLOW'!G156=0,BUDGET!G156=0),"",'CASH FLOW'!G156-BUDGET!G156)</f>
        <v/>
      </c>
      <c r="H156" s="22">
        <f>IF(AND('CASH FLOW'!H156=0,BUDGET!H156=0),"",'CASH FLOW'!H156-BUDGET!H156)</f>
        <v/>
      </c>
      <c r="I156" s="22">
        <f>IF(AND('CASH FLOW'!I156=0,BUDGET!I156=0),"",'CASH FLOW'!I156-BUDGET!I156)</f>
        <v/>
      </c>
      <c r="J156" s="22">
        <f>IF(AND('CASH FLOW'!J156=0,BUDGET!J156=0),"",'CASH FLOW'!J156-BUDGET!J156)</f>
        <v/>
      </c>
      <c r="K156" s="22">
        <f>IF(AND('CASH FLOW'!K156=0,BUDGET!K156=0),"",'CASH FLOW'!K156-BUDGET!K156)</f>
        <v/>
      </c>
      <c r="L156" s="22">
        <f>IF(AND('CASH FLOW'!L156=0,BUDGET!L156=0),"",'CASH FLOW'!L156-BUDGET!L156)</f>
        <v/>
      </c>
      <c r="M156" s="22">
        <f>IF(AND('CASH FLOW'!M156=0,BUDGET!M156=0),"",'CASH FLOW'!M156-BUDGET!M156)</f>
        <v/>
      </c>
      <c r="N156" s="22">
        <f>IF(AND('CASH FLOW'!N156=0,BUDGET!N156=0),"",'CASH FLOW'!N156-BUDGET!N156)</f>
        <v/>
      </c>
      <c r="O156" s="22">
        <f>IF(AND('CASH FLOW'!O156=0,BUDGET!O156=0),"",'CASH FLOW'!O156-BUDGET!O156)</f>
        <v/>
      </c>
      <c r="Q156" s="23">
        <f>IF(BUDGET!O156=0,"",('CASH FLOW'!O156-BUDGET!O156)/ABS(BUDGET!O156))</f>
        <v/>
      </c>
    </row>
    <row r="157">
      <c r="A157" s="13">
        <f>'CASH FLOW'!A157</f>
        <v/>
      </c>
      <c r="B157" s="13">
        <f>'CASH FLOW'!B157</f>
        <v/>
      </c>
      <c r="C157" s="22">
        <f>IF(AND('CASH FLOW'!C157=0,BUDGET!C157=0),"",'CASH FLOW'!C157-BUDGET!C157)</f>
        <v/>
      </c>
      <c r="D157" s="22">
        <f>IF(AND('CASH FLOW'!D157=0,BUDGET!D157=0),"",'CASH FLOW'!D157-BUDGET!D157)</f>
        <v/>
      </c>
      <c r="E157" s="22">
        <f>IF(AND('CASH FLOW'!E157=0,BUDGET!E157=0),"",'CASH FLOW'!E157-BUDGET!E157)</f>
        <v/>
      </c>
      <c r="F157" s="22">
        <f>IF(AND('CASH FLOW'!F157=0,BUDGET!F157=0),"",'CASH FLOW'!F157-BUDGET!F157)</f>
        <v/>
      </c>
      <c r="G157" s="22">
        <f>IF(AND('CASH FLOW'!G157=0,BUDGET!G157=0),"",'CASH FLOW'!G157-BUDGET!G157)</f>
        <v/>
      </c>
      <c r="H157" s="22">
        <f>IF(AND('CASH FLOW'!H157=0,BUDGET!H157=0),"",'CASH FLOW'!H157-BUDGET!H157)</f>
        <v/>
      </c>
      <c r="I157" s="22">
        <f>IF(AND('CASH FLOW'!I157=0,BUDGET!I157=0),"",'CASH FLOW'!I157-BUDGET!I157)</f>
        <v/>
      </c>
      <c r="J157" s="22">
        <f>IF(AND('CASH FLOW'!J157=0,BUDGET!J157=0),"",'CASH FLOW'!J157-BUDGET!J157)</f>
        <v/>
      </c>
      <c r="K157" s="22">
        <f>IF(AND('CASH FLOW'!K157=0,BUDGET!K157=0),"",'CASH FLOW'!K157-BUDGET!K157)</f>
        <v/>
      </c>
      <c r="L157" s="22">
        <f>IF(AND('CASH FLOW'!L157=0,BUDGET!L157=0),"",'CASH FLOW'!L157-BUDGET!L157)</f>
        <v/>
      </c>
      <c r="M157" s="22">
        <f>IF(AND('CASH FLOW'!M157=0,BUDGET!M157=0),"",'CASH FLOW'!M157-BUDGET!M157)</f>
        <v/>
      </c>
      <c r="N157" s="22">
        <f>IF(AND('CASH FLOW'!N157=0,BUDGET!N157=0),"",'CASH FLOW'!N157-BUDGET!N157)</f>
        <v/>
      </c>
      <c r="O157" s="22">
        <f>IF(AND('CASH FLOW'!O157=0,BUDGET!O157=0),"",'CASH FLOW'!O157-BUDGET!O157)</f>
        <v/>
      </c>
      <c r="Q157" s="23">
        <f>IF(BUDGET!O157=0,"",('CASH FLOW'!O157-BUDGET!O157)/ABS(BUDGET!O157))</f>
        <v/>
      </c>
    </row>
    <row r="158">
      <c r="A158" s="13">
        <f>'CASH FLOW'!A158</f>
        <v/>
      </c>
      <c r="B158" s="13">
        <f>'CASH FLOW'!B158</f>
        <v/>
      </c>
      <c r="C158" s="22">
        <f>IF(AND('CASH FLOW'!C158=0,BUDGET!C158=0),"",'CASH FLOW'!C158-BUDGET!C158)</f>
        <v/>
      </c>
      <c r="D158" s="22">
        <f>IF(AND('CASH FLOW'!D158=0,BUDGET!D158=0),"",'CASH FLOW'!D158-BUDGET!D158)</f>
        <v/>
      </c>
      <c r="E158" s="22">
        <f>IF(AND('CASH FLOW'!E158=0,BUDGET!E158=0),"",'CASH FLOW'!E158-BUDGET!E158)</f>
        <v/>
      </c>
      <c r="F158" s="22">
        <f>IF(AND('CASH FLOW'!F158=0,BUDGET!F158=0),"",'CASH FLOW'!F158-BUDGET!F158)</f>
        <v/>
      </c>
      <c r="G158" s="22">
        <f>IF(AND('CASH FLOW'!G158=0,BUDGET!G158=0),"",'CASH FLOW'!G158-BUDGET!G158)</f>
        <v/>
      </c>
      <c r="H158" s="22">
        <f>IF(AND('CASH FLOW'!H158=0,BUDGET!H158=0),"",'CASH FLOW'!H158-BUDGET!H158)</f>
        <v/>
      </c>
      <c r="I158" s="22">
        <f>IF(AND('CASH FLOW'!I158=0,BUDGET!I158=0),"",'CASH FLOW'!I158-BUDGET!I158)</f>
        <v/>
      </c>
      <c r="J158" s="22">
        <f>IF(AND('CASH FLOW'!J158=0,BUDGET!J158=0),"",'CASH FLOW'!J158-BUDGET!J158)</f>
        <v/>
      </c>
      <c r="K158" s="22">
        <f>IF(AND('CASH FLOW'!K158=0,BUDGET!K158=0),"",'CASH FLOW'!K158-BUDGET!K158)</f>
        <v/>
      </c>
      <c r="L158" s="22">
        <f>IF(AND('CASH FLOW'!L158=0,BUDGET!L158=0),"",'CASH FLOW'!L158-BUDGET!L158)</f>
        <v/>
      </c>
      <c r="M158" s="22">
        <f>IF(AND('CASH FLOW'!M158=0,BUDGET!M158=0),"",'CASH FLOW'!M158-BUDGET!M158)</f>
        <v/>
      </c>
      <c r="N158" s="22">
        <f>IF(AND('CASH FLOW'!N158=0,BUDGET!N158=0),"",'CASH FLOW'!N158-BUDGET!N158)</f>
        <v/>
      </c>
      <c r="O158" s="22">
        <f>IF(AND('CASH FLOW'!O158=0,BUDGET!O158=0),"",'CASH FLOW'!O158-BUDGET!O158)</f>
        <v/>
      </c>
      <c r="Q158" s="23">
        <f>IF(BUDGET!O158=0,"",('CASH FLOW'!O158-BUDGET!O158)/ABS(BUDGET!O158))</f>
        <v/>
      </c>
    </row>
    <row r="159">
      <c r="A159" s="13">
        <f>'CASH FLOW'!A159</f>
        <v/>
      </c>
      <c r="B159" s="13">
        <f>'CASH FLOW'!B159</f>
        <v/>
      </c>
      <c r="C159" s="22">
        <f>IF(AND('CASH FLOW'!C159=0,BUDGET!C159=0),"",'CASH FLOW'!C159-BUDGET!C159)</f>
        <v/>
      </c>
      <c r="D159" s="22">
        <f>IF(AND('CASH FLOW'!D159=0,BUDGET!D159=0),"",'CASH FLOW'!D159-BUDGET!D159)</f>
        <v/>
      </c>
      <c r="E159" s="22">
        <f>IF(AND('CASH FLOW'!E159=0,BUDGET!E159=0),"",'CASH FLOW'!E159-BUDGET!E159)</f>
        <v/>
      </c>
      <c r="F159" s="22">
        <f>IF(AND('CASH FLOW'!F159=0,BUDGET!F159=0),"",'CASH FLOW'!F159-BUDGET!F159)</f>
        <v/>
      </c>
      <c r="G159" s="22">
        <f>IF(AND('CASH FLOW'!G159=0,BUDGET!G159=0),"",'CASH FLOW'!G159-BUDGET!G159)</f>
        <v/>
      </c>
      <c r="H159" s="22">
        <f>IF(AND('CASH FLOW'!H159=0,BUDGET!H159=0),"",'CASH FLOW'!H159-BUDGET!H159)</f>
        <v/>
      </c>
      <c r="I159" s="22">
        <f>IF(AND('CASH FLOW'!I159=0,BUDGET!I159=0),"",'CASH FLOW'!I159-BUDGET!I159)</f>
        <v/>
      </c>
      <c r="J159" s="22">
        <f>IF(AND('CASH FLOW'!J159=0,BUDGET!J159=0),"",'CASH FLOW'!J159-BUDGET!J159)</f>
        <v/>
      </c>
      <c r="K159" s="22">
        <f>IF(AND('CASH FLOW'!K159=0,BUDGET!K159=0),"",'CASH FLOW'!K159-BUDGET!K159)</f>
        <v/>
      </c>
      <c r="L159" s="22">
        <f>IF(AND('CASH FLOW'!L159=0,BUDGET!L159=0),"",'CASH FLOW'!L159-BUDGET!L159)</f>
        <v/>
      </c>
      <c r="M159" s="22">
        <f>IF(AND('CASH FLOW'!M159=0,BUDGET!M159=0),"",'CASH FLOW'!M159-BUDGET!M159)</f>
        <v/>
      </c>
      <c r="N159" s="22">
        <f>IF(AND('CASH FLOW'!N159=0,BUDGET!N159=0),"",'CASH FLOW'!N159-BUDGET!N159)</f>
        <v/>
      </c>
      <c r="O159" s="22">
        <f>IF(AND('CASH FLOW'!O159=0,BUDGET!O159=0),"",'CASH FLOW'!O159-BUDGET!O159)</f>
        <v/>
      </c>
      <c r="Q159" s="23">
        <f>IF(BUDGET!O159=0,"",('CASH FLOW'!O159-BUDGET!O159)/ABS(BUDGET!O159))</f>
        <v/>
      </c>
    </row>
    <row r="160">
      <c r="A160" s="13">
        <f>'CASH FLOW'!A160</f>
        <v/>
      </c>
      <c r="B160" s="13">
        <f>'CASH FLOW'!B160</f>
        <v/>
      </c>
      <c r="C160" s="22">
        <f>IF(AND('CASH FLOW'!C160=0,BUDGET!C160=0),"",'CASH FLOW'!C160-BUDGET!C160)</f>
        <v/>
      </c>
      <c r="D160" s="22">
        <f>IF(AND('CASH FLOW'!D160=0,BUDGET!D160=0),"",'CASH FLOW'!D160-BUDGET!D160)</f>
        <v/>
      </c>
      <c r="E160" s="22">
        <f>IF(AND('CASH FLOW'!E160=0,BUDGET!E160=0),"",'CASH FLOW'!E160-BUDGET!E160)</f>
        <v/>
      </c>
      <c r="F160" s="22">
        <f>IF(AND('CASH FLOW'!F160=0,BUDGET!F160=0),"",'CASH FLOW'!F160-BUDGET!F160)</f>
        <v/>
      </c>
      <c r="G160" s="22">
        <f>IF(AND('CASH FLOW'!G160=0,BUDGET!G160=0),"",'CASH FLOW'!G160-BUDGET!G160)</f>
        <v/>
      </c>
      <c r="H160" s="22">
        <f>IF(AND('CASH FLOW'!H160=0,BUDGET!H160=0),"",'CASH FLOW'!H160-BUDGET!H160)</f>
        <v/>
      </c>
      <c r="I160" s="22">
        <f>IF(AND('CASH FLOW'!I160=0,BUDGET!I160=0),"",'CASH FLOW'!I160-BUDGET!I160)</f>
        <v/>
      </c>
      <c r="J160" s="22">
        <f>IF(AND('CASH FLOW'!J160=0,BUDGET!J160=0),"",'CASH FLOW'!J160-BUDGET!J160)</f>
        <v/>
      </c>
      <c r="K160" s="22">
        <f>IF(AND('CASH FLOW'!K160=0,BUDGET!K160=0),"",'CASH FLOW'!K160-BUDGET!K160)</f>
        <v/>
      </c>
      <c r="L160" s="22">
        <f>IF(AND('CASH FLOW'!L160=0,BUDGET!L160=0),"",'CASH FLOW'!L160-BUDGET!L160)</f>
        <v/>
      </c>
      <c r="M160" s="22">
        <f>IF(AND('CASH FLOW'!M160=0,BUDGET!M160=0),"",'CASH FLOW'!M160-BUDGET!M160)</f>
        <v/>
      </c>
      <c r="N160" s="22">
        <f>IF(AND('CASH FLOW'!N160=0,BUDGET!N160=0),"",'CASH FLOW'!N160-BUDGET!N160)</f>
        <v/>
      </c>
      <c r="O160" s="22">
        <f>IF(AND('CASH FLOW'!O160=0,BUDGET!O160=0),"",'CASH FLOW'!O160-BUDGET!O160)</f>
        <v/>
      </c>
      <c r="Q160" s="23">
        <f>IF(BUDGET!O160=0,"",('CASH FLOW'!O160-BUDGET!O160)/ABS(BUDGET!O160))</f>
        <v/>
      </c>
    </row>
    <row r="161">
      <c r="A161" s="13">
        <f>'CASH FLOW'!A161</f>
        <v/>
      </c>
      <c r="B161" s="13">
        <f>'CASH FLOW'!B161</f>
        <v/>
      </c>
      <c r="C161" s="22">
        <f>IF(AND('CASH FLOW'!C161=0,BUDGET!C161=0),"",'CASH FLOW'!C161-BUDGET!C161)</f>
        <v/>
      </c>
      <c r="D161" s="22">
        <f>IF(AND('CASH FLOW'!D161=0,BUDGET!D161=0),"",'CASH FLOW'!D161-BUDGET!D161)</f>
        <v/>
      </c>
      <c r="E161" s="22">
        <f>IF(AND('CASH FLOW'!E161=0,BUDGET!E161=0),"",'CASH FLOW'!E161-BUDGET!E161)</f>
        <v/>
      </c>
      <c r="F161" s="22">
        <f>IF(AND('CASH FLOW'!F161=0,BUDGET!F161=0),"",'CASH FLOW'!F161-BUDGET!F161)</f>
        <v/>
      </c>
      <c r="G161" s="22">
        <f>IF(AND('CASH FLOW'!G161=0,BUDGET!G161=0),"",'CASH FLOW'!G161-BUDGET!G161)</f>
        <v/>
      </c>
      <c r="H161" s="22">
        <f>IF(AND('CASH FLOW'!H161=0,BUDGET!H161=0),"",'CASH FLOW'!H161-BUDGET!H161)</f>
        <v/>
      </c>
      <c r="I161" s="22">
        <f>IF(AND('CASH FLOW'!I161=0,BUDGET!I161=0),"",'CASH FLOW'!I161-BUDGET!I161)</f>
        <v/>
      </c>
      <c r="J161" s="22">
        <f>IF(AND('CASH FLOW'!J161=0,BUDGET!J161=0),"",'CASH FLOW'!J161-BUDGET!J161)</f>
        <v/>
      </c>
      <c r="K161" s="22">
        <f>IF(AND('CASH FLOW'!K161=0,BUDGET!K161=0),"",'CASH FLOW'!K161-BUDGET!K161)</f>
        <v/>
      </c>
      <c r="L161" s="22">
        <f>IF(AND('CASH FLOW'!L161=0,BUDGET!L161=0),"",'CASH FLOW'!L161-BUDGET!L161)</f>
        <v/>
      </c>
      <c r="M161" s="22">
        <f>IF(AND('CASH FLOW'!M161=0,BUDGET!M161=0),"",'CASH FLOW'!M161-BUDGET!M161)</f>
        <v/>
      </c>
      <c r="N161" s="22">
        <f>IF(AND('CASH FLOW'!N161=0,BUDGET!N161=0),"",'CASH FLOW'!N161-BUDGET!N161)</f>
        <v/>
      </c>
      <c r="O161" s="22">
        <f>IF(AND('CASH FLOW'!O161=0,BUDGET!O161=0),"",'CASH FLOW'!O161-BUDGET!O161)</f>
        <v/>
      </c>
      <c r="Q161" s="23">
        <f>IF(BUDGET!O161=0,"",('CASH FLOW'!O161-BUDGET!O161)/ABS(BUDGET!O161))</f>
        <v/>
      </c>
    </row>
    <row r="162">
      <c r="A162" s="13">
        <f>'CASH FLOW'!A162</f>
        <v/>
      </c>
      <c r="B162" s="13">
        <f>'CASH FLOW'!B162</f>
        <v/>
      </c>
      <c r="C162" s="22">
        <f>IF(AND('CASH FLOW'!C162=0,BUDGET!C162=0),"",'CASH FLOW'!C162-BUDGET!C162)</f>
        <v/>
      </c>
      <c r="D162" s="22">
        <f>IF(AND('CASH FLOW'!D162=0,BUDGET!D162=0),"",'CASH FLOW'!D162-BUDGET!D162)</f>
        <v/>
      </c>
      <c r="E162" s="22">
        <f>IF(AND('CASH FLOW'!E162=0,BUDGET!E162=0),"",'CASH FLOW'!E162-BUDGET!E162)</f>
        <v/>
      </c>
      <c r="F162" s="22">
        <f>IF(AND('CASH FLOW'!F162=0,BUDGET!F162=0),"",'CASH FLOW'!F162-BUDGET!F162)</f>
        <v/>
      </c>
      <c r="G162" s="22">
        <f>IF(AND('CASH FLOW'!G162=0,BUDGET!G162=0),"",'CASH FLOW'!G162-BUDGET!G162)</f>
        <v/>
      </c>
      <c r="H162" s="22">
        <f>IF(AND('CASH FLOW'!H162=0,BUDGET!H162=0),"",'CASH FLOW'!H162-BUDGET!H162)</f>
        <v/>
      </c>
      <c r="I162" s="22">
        <f>IF(AND('CASH FLOW'!I162=0,BUDGET!I162=0),"",'CASH FLOW'!I162-BUDGET!I162)</f>
        <v/>
      </c>
      <c r="J162" s="22">
        <f>IF(AND('CASH FLOW'!J162=0,BUDGET!J162=0),"",'CASH FLOW'!J162-BUDGET!J162)</f>
        <v/>
      </c>
      <c r="K162" s="22">
        <f>IF(AND('CASH FLOW'!K162=0,BUDGET!K162=0),"",'CASH FLOW'!K162-BUDGET!K162)</f>
        <v/>
      </c>
      <c r="L162" s="22">
        <f>IF(AND('CASH FLOW'!L162=0,BUDGET!L162=0),"",'CASH FLOW'!L162-BUDGET!L162)</f>
        <v/>
      </c>
      <c r="M162" s="22">
        <f>IF(AND('CASH FLOW'!M162=0,BUDGET!M162=0),"",'CASH FLOW'!M162-BUDGET!M162)</f>
        <v/>
      </c>
      <c r="N162" s="22">
        <f>IF(AND('CASH FLOW'!N162=0,BUDGET!N162=0),"",'CASH FLOW'!N162-BUDGET!N162)</f>
        <v/>
      </c>
      <c r="O162" s="22">
        <f>IF(AND('CASH FLOW'!O162=0,BUDGET!O162=0),"",'CASH FLOW'!O162-BUDGET!O162)</f>
        <v/>
      </c>
      <c r="Q162" s="23">
        <f>IF(BUDGET!O162=0,"",('CASH FLOW'!O162-BUDGET!O162)/ABS(BUDGET!O162))</f>
        <v/>
      </c>
    </row>
    <row r="163">
      <c r="A163" s="13">
        <f>'CASH FLOW'!A163</f>
        <v/>
      </c>
      <c r="B163" s="13">
        <f>'CASH FLOW'!B163</f>
        <v/>
      </c>
      <c r="C163" s="22">
        <f>IF(AND('CASH FLOW'!C163=0,BUDGET!C163=0),"",'CASH FLOW'!C163-BUDGET!C163)</f>
        <v/>
      </c>
      <c r="D163" s="22">
        <f>IF(AND('CASH FLOW'!D163=0,BUDGET!D163=0),"",'CASH FLOW'!D163-BUDGET!D163)</f>
        <v/>
      </c>
      <c r="E163" s="22">
        <f>IF(AND('CASH FLOW'!E163=0,BUDGET!E163=0),"",'CASH FLOW'!E163-BUDGET!E163)</f>
        <v/>
      </c>
      <c r="F163" s="22">
        <f>IF(AND('CASH FLOW'!F163=0,BUDGET!F163=0),"",'CASH FLOW'!F163-BUDGET!F163)</f>
        <v/>
      </c>
      <c r="G163" s="22">
        <f>IF(AND('CASH FLOW'!G163=0,BUDGET!G163=0),"",'CASH FLOW'!G163-BUDGET!G163)</f>
        <v/>
      </c>
      <c r="H163" s="22">
        <f>IF(AND('CASH FLOW'!H163=0,BUDGET!H163=0),"",'CASH FLOW'!H163-BUDGET!H163)</f>
        <v/>
      </c>
      <c r="I163" s="22">
        <f>IF(AND('CASH FLOW'!I163=0,BUDGET!I163=0),"",'CASH FLOW'!I163-BUDGET!I163)</f>
        <v/>
      </c>
      <c r="J163" s="22">
        <f>IF(AND('CASH FLOW'!J163=0,BUDGET!J163=0),"",'CASH FLOW'!J163-BUDGET!J163)</f>
        <v/>
      </c>
      <c r="K163" s="22">
        <f>IF(AND('CASH FLOW'!K163=0,BUDGET!K163=0),"",'CASH FLOW'!K163-BUDGET!K163)</f>
        <v/>
      </c>
      <c r="L163" s="22">
        <f>IF(AND('CASH FLOW'!L163=0,BUDGET!L163=0),"",'CASH FLOW'!L163-BUDGET!L163)</f>
        <v/>
      </c>
      <c r="M163" s="22">
        <f>IF(AND('CASH FLOW'!M163=0,BUDGET!M163=0),"",'CASH FLOW'!M163-BUDGET!M163)</f>
        <v/>
      </c>
      <c r="N163" s="22">
        <f>IF(AND('CASH FLOW'!N163=0,BUDGET!N163=0),"",'CASH FLOW'!N163-BUDGET!N163)</f>
        <v/>
      </c>
      <c r="O163" s="22">
        <f>IF(AND('CASH FLOW'!O163=0,BUDGET!O163=0),"",'CASH FLOW'!O163-BUDGET!O163)</f>
        <v/>
      </c>
      <c r="Q163" s="23">
        <f>IF(BUDGET!O163=0,"",('CASH FLOW'!O163-BUDGET!O163)/ABS(BUDGET!O163))</f>
        <v/>
      </c>
    </row>
    <row r="164">
      <c r="A164" s="13">
        <f>'CASH FLOW'!A164</f>
        <v/>
      </c>
      <c r="B164" s="13">
        <f>'CASH FLOW'!B164</f>
        <v/>
      </c>
      <c r="C164" s="22">
        <f>IF(AND('CASH FLOW'!C164=0,BUDGET!C164=0),"",'CASH FLOW'!C164-BUDGET!C164)</f>
        <v/>
      </c>
      <c r="D164" s="22">
        <f>IF(AND('CASH FLOW'!D164=0,BUDGET!D164=0),"",'CASH FLOW'!D164-BUDGET!D164)</f>
        <v/>
      </c>
      <c r="E164" s="22">
        <f>IF(AND('CASH FLOW'!E164=0,BUDGET!E164=0),"",'CASH FLOW'!E164-BUDGET!E164)</f>
        <v/>
      </c>
      <c r="F164" s="22">
        <f>IF(AND('CASH FLOW'!F164=0,BUDGET!F164=0),"",'CASH FLOW'!F164-BUDGET!F164)</f>
        <v/>
      </c>
      <c r="G164" s="22">
        <f>IF(AND('CASH FLOW'!G164=0,BUDGET!G164=0),"",'CASH FLOW'!G164-BUDGET!G164)</f>
        <v/>
      </c>
      <c r="H164" s="22">
        <f>IF(AND('CASH FLOW'!H164=0,BUDGET!H164=0),"",'CASH FLOW'!H164-BUDGET!H164)</f>
        <v/>
      </c>
      <c r="I164" s="22">
        <f>IF(AND('CASH FLOW'!I164=0,BUDGET!I164=0),"",'CASH FLOW'!I164-BUDGET!I164)</f>
        <v/>
      </c>
      <c r="J164" s="22">
        <f>IF(AND('CASH FLOW'!J164=0,BUDGET!J164=0),"",'CASH FLOW'!J164-BUDGET!J164)</f>
        <v/>
      </c>
      <c r="K164" s="22">
        <f>IF(AND('CASH FLOW'!K164=0,BUDGET!K164=0),"",'CASH FLOW'!K164-BUDGET!K164)</f>
        <v/>
      </c>
      <c r="L164" s="22">
        <f>IF(AND('CASH FLOW'!L164=0,BUDGET!L164=0),"",'CASH FLOW'!L164-BUDGET!L164)</f>
        <v/>
      </c>
      <c r="M164" s="22">
        <f>IF(AND('CASH FLOW'!M164=0,BUDGET!M164=0),"",'CASH FLOW'!M164-BUDGET!M164)</f>
        <v/>
      </c>
      <c r="N164" s="22">
        <f>IF(AND('CASH FLOW'!N164=0,BUDGET!N164=0),"",'CASH FLOW'!N164-BUDGET!N164)</f>
        <v/>
      </c>
      <c r="O164" s="22">
        <f>IF(AND('CASH FLOW'!O164=0,BUDGET!O164=0),"",'CASH FLOW'!O164-BUDGET!O164)</f>
        <v/>
      </c>
      <c r="Q164" s="23">
        <f>IF(BUDGET!O164=0,"",('CASH FLOW'!O164-BUDGET!O164)/ABS(BUDGET!O164))</f>
        <v/>
      </c>
    </row>
    <row r="165">
      <c r="A165" s="13">
        <f>'CASH FLOW'!A165</f>
        <v/>
      </c>
      <c r="B165" s="13">
        <f>'CASH FLOW'!B165</f>
        <v/>
      </c>
      <c r="C165" s="22">
        <f>IF(AND('CASH FLOW'!C165=0,BUDGET!C165=0),"",'CASH FLOW'!C165-BUDGET!C165)</f>
        <v/>
      </c>
      <c r="D165" s="22">
        <f>IF(AND('CASH FLOW'!D165=0,BUDGET!D165=0),"",'CASH FLOW'!D165-BUDGET!D165)</f>
        <v/>
      </c>
      <c r="E165" s="22">
        <f>IF(AND('CASH FLOW'!E165=0,BUDGET!E165=0),"",'CASH FLOW'!E165-BUDGET!E165)</f>
        <v/>
      </c>
      <c r="F165" s="22">
        <f>IF(AND('CASH FLOW'!F165=0,BUDGET!F165=0),"",'CASH FLOW'!F165-BUDGET!F165)</f>
        <v/>
      </c>
      <c r="G165" s="22">
        <f>IF(AND('CASH FLOW'!G165=0,BUDGET!G165=0),"",'CASH FLOW'!G165-BUDGET!G165)</f>
        <v/>
      </c>
      <c r="H165" s="22">
        <f>IF(AND('CASH FLOW'!H165=0,BUDGET!H165=0),"",'CASH FLOW'!H165-BUDGET!H165)</f>
        <v/>
      </c>
      <c r="I165" s="22">
        <f>IF(AND('CASH FLOW'!I165=0,BUDGET!I165=0),"",'CASH FLOW'!I165-BUDGET!I165)</f>
        <v/>
      </c>
      <c r="J165" s="22">
        <f>IF(AND('CASH FLOW'!J165=0,BUDGET!J165=0),"",'CASH FLOW'!J165-BUDGET!J165)</f>
        <v/>
      </c>
      <c r="K165" s="22">
        <f>IF(AND('CASH FLOW'!K165=0,BUDGET!K165=0),"",'CASH FLOW'!K165-BUDGET!K165)</f>
        <v/>
      </c>
      <c r="L165" s="22">
        <f>IF(AND('CASH FLOW'!L165=0,BUDGET!L165=0),"",'CASH FLOW'!L165-BUDGET!L165)</f>
        <v/>
      </c>
      <c r="M165" s="22">
        <f>IF(AND('CASH FLOW'!M165=0,BUDGET!M165=0),"",'CASH FLOW'!M165-BUDGET!M165)</f>
        <v/>
      </c>
      <c r="N165" s="22">
        <f>IF(AND('CASH FLOW'!N165=0,BUDGET!N165=0),"",'CASH FLOW'!N165-BUDGET!N165)</f>
        <v/>
      </c>
      <c r="O165" s="22">
        <f>IF(AND('CASH FLOW'!O165=0,BUDGET!O165=0),"",'CASH FLOW'!O165-BUDGET!O165)</f>
        <v/>
      </c>
      <c r="Q165" s="23">
        <f>IF(BUDGET!O165=0,"",('CASH FLOW'!O165-BUDGET!O165)/ABS(BUDGET!O165))</f>
        <v/>
      </c>
    </row>
    <row r="166">
      <c r="A166" s="13">
        <f>'CASH FLOW'!A166</f>
        <v/>
      </c>
      <c r="B166" s="13">
        <f>'CASH FLOW'!B166</f>
        <v/>
      </c>
      <c r="C166" s="22">
        <f>IF(AND('CASH FLOW'!C166=0,BUDGET!C166=0),"",'CASH FLOW'!C166-BUDGET!C166)</f>
        <v/>
      </c>
      <c r="D166" s="22">
        <f>IF(AND('CASH FLOW'!D166=0,BUDGET!D166=0),"",'CASH FLOW'!D166-BUDGET!D166)</f>
        <v/>
      </c>
      <c r="E166" s="22">
        <f>IF(AND('CASH FLOW'!E166=0,BUDGET!E166=0),"",'CASH FLOW'!E166-BUDGET!E166)</f>
        <v/>
      </c>
      <c r="F166" s="22">
        <f>IF(AND('CASH FLOW'!F166=0,BUDGET!F166=0),"",'CASH FLOW'!F166-BUDGET!F166)</f>
        <v/>
      </c>
      <c r="G166" s="22">
        <f>IF(AND('CASH FLOW'!G166=0,BUDGET!G166=0),"",'CASH FLOW'!G166-BUDGET!G166)</f>
        <v/>
      </c>
      <c r="H166" s="22">
        <f>IF(AND('CASH FLOW'!H166=0,BUDGET!H166=0),"",'CASH FLOW'!H166-BUDGET!H166)</f>
        <v/>
      </c>
      <c r="I166" s="22">
        <f>IF(AND('CASH FLOW'!I166=0,BUDGET!I166=0),"",'CASH FLOW'!I166-BUDGET!I166)</f>
        <v/>
      </c>
      <c r="J166" s="22">
        <f>IF(AND('CASH FLOW'!J166=0,BUDGET!J166=0),"",'CASH FLOW'!J166-BUDGET!J166)</f>
        <v/>
      </c>
      <c r="K166" s="22">
        <f>IF(AND('CASH FLOW'!K166=0,BUDGET!K166=0),"",'CASH FLOW'!K166-BUDGET!K166)</f>
        <v/>
      </c>
      <c r="L166" s="22">
        <f>IF(AND('CASH FLOW'!L166=0,BUDGET!L166=0),"",'CASH FLOW'!L166-BUDGET!L166)</f>
        <v/>
      </c>
      <c r="M166" s="22">
        <f>IF(AND('CASH FLOW'!M166=0,BUDGET!M166=0),"",'CASH FLOW'!M166-BUDGET!M166)</f>
        <v/>
      </c>
      <c r="N166" s="22">
        <f>IF(AND('CASH FLOW'!N166=0,BUDGET!N166=0),"",'CASH FLOW'!N166-BUDGET!N166)</f>
        <v/>
      </c>
      <c r="O166" s="22">
        <f>IF(AND('CASH FLOW'!O166=0,BUDGET!O166=0),"",'CASH FLOW'!O166-BUDGET!O166)</f>
        <v/>
      </c>
      <c r="Q166" s="23">
        <f>IF(BUDGET!O166=0,"",('CASH FLOW'!O166-BUDGET!O166)/ABS(BUDGET!O166))</f>
        <v/>
      </c>
    </row>
    <row r="167">
      <c r="A167" s="13">
        <f>'CASH FLOW'!A167</f>
        <v/>
      </c>
      <c r="B167" s="13">
        <f>'CASH FLOW'!B167</f>
        <v/>
      </c>
      <c r="C167" s="22">
        <f>IF(AND('CASH FLOW'!C167=0,BUDGET!C167=0),"",'CASH FLOW'!C167-BUDGET!C167)</f>
        <v/>
      </c>
      <c r="D167" s="22">
        <f>IF(AND('CASH FLOW'!D167=0,BUDGET!D167=0),"",'CASH FLOW'!D167-BUDGET!D167)</f>
        <v/>
      </c>
      <c r="E167" s="22">
        <f>IF(AND('CASH FLOW'!E167=0,BUDGET!E167=0),"",'CASH FLOW'!E167-BUDGET!E167)</f>
        <v/>
      </c>
      <c r="F167" s="22">
        <f>IF(AND('CASH FLOW'!F167=0,BUDGET!F167=0),"",'CASH FLOW'!F167-BUDGET!F167)</f>
        <v/>
      </c>
      <c r="G167" s="22">
        <f>IF(AND('CASH FLOW'!G167=0,BUDGET!G167=0),"",'CASH FLOW'!G167-BUDGET!G167)</f>
        <v/>
      </c>
      <c r="H167" s="22">
        <f>IF(AND('CASH FLOW'!H167=0,BUDGET!H167=0),"",'CASH FLOW'!H167-BUDGET!H167)</f>
        <v/>
      </c>
      <c r="I167" s="22">
        <f>IF(AND('CASH FLOW'!I167=0,BUDGET!I167=0),"",'CASH FLOW'!I167-BUDGET!I167)</f>
        <v/>
      </c>
      <c r="J167" s="22">
        <f>IF(AND('CASH FLOW'!J167=0,BUDGET!J167=0),"",'CASH FLOW'!J167-BUDGET!J167)</f>
        <v/>
      </c>
      <c r="K167" s="22">
        <f>IF(AND('CASH FLOW'!K167=0,BUDGET!K167=0),"",'CASH FLOW'!K167-BUDGET!K167)</f>
        <v/>
      </c>
      <c r="L167" s="22">
        <f>IF(AND('CASH FLOW'!L167=0,BUDGET!L167=0),"",'CASH FLOW'!L167-BUDGET!L167)</f>
        <v/>
      </c>
      <c r="M167" s="22">
        <f>IF(AND('CASH FLOW'!M167=0,BUDGET!M167=0),"",'CASH FLOW'!M167-BUDGET!M167)</f>
        <v/>
      </c>
      <c r="N167" s="22">
        <f>IF(AND('CASH FLOW'!N167=0,BUDGET!N167=0),"",'CASH FLOW'!N167-BUDGET!N167)</f>
        <v/>
      </c>
      <c r="O167" s="22">
        <f>IF(AND('CASH FLOW'!O167=0,BUDGET!O167=0),"",'CASH FLOW'!O167-BUDGET!O167)</f>
        <v/>
      </c>
      <c r="Q167" s="23">
        <f>IF(BUDGET!O167=0,"",('CASH FLOW'!O167-BUDGET!O167)/ABS(BUDGET!O167))</f>
        <v/>
      </c>
    </row>
    <row r="168">
      <c r="A168" s="13">
        <f>'CASH FLOW'!A168</f>
        <v/>
      </c>
      <c r="B168" s="13">
        <f>'CASH FLOW'!B168</f>
        <v/>
      </c>
      <c r="C168" s="22">
        <f>IF(AND('CASH FLOW'!C168=0,BUDGET!C168=0),"",'CASH FLOW'!C168-BUDGET!C168)</f>
        <v/>
      </c>
      <c r="D168" s="22">
        <f>IF(AND('CASH FLOW'!D168=0,BUDGET!D168=0),"",'CASH FLOW'!D168-BUDGET!D168)</f>
        <v/>
      </c>
      <c r="E168" s="22">
        <f>IF(AND('CASH FLOW'!E168=0,BUDGET!E168=0),"",'CASH FLOW'!E168-BUDGET!E168)</f>
        <v/>
      </c>
      <c r="F168" s="22">
        <f>IF(AND('CASH FLOW'!F168=0,BUDGET!F168=0),"",'CASH FLOW'!F168-BUDGET!F168)</f>
        <v/>
      </c>
      <c r="G168" s="22">
        <f>IF(AND('CASH FLOW'!G168=0,BUDGET!G168=0),"",'CASH FLOW'!G168-BUDGET!G168)</f>
        <v/>
      </c>
      <c r="H168" s="22">
        <f>IF(AND('CASH FLOW'!H168=0,BUDGET!H168=0),"",'CASH FLOW'!H168-BUDGET!H168)</f>
        <v/>
      </c>
      <c r="I168" s="22">
        <f>IF(AND('CASH FLOW'!I168=0,BUDGET!I168=0),"",'CASH FLOW'!I168-BUDGET!I168)</f>
        <v/>
      </c>
      <c r="J168" s="22">
        <f>IF(AND('CASH FLOW'!J168=0,BUDGET!J168=0),"",'CASH FLOW'!J168-BUDGET!J168)</f>
        <v/>
      </c>
      <c r="K168" s="22">
        <f>IF(AND('CASH FLOW'!K168=0,BUDGET!K168=0),"",'CASH FLOW'!K168-BUDGET!K168)</f>
        <v/>
      </c>
      <c r="L168" s="22">
        <f>IF(AND('CASH FLOW'!L168=0,BUDGET!L168=0),"",'CASH FLOW'!L168-BUDGET!L168)</f>
        <v/>
      </c>
      <c r="M168" s="22">
        <f>IF(AND('CASH FLOW'!M168=0,BUDGET!M168=0),"",'CASH FLOW'!M168-BUDGET!M168)</f>
        <v/>
      </c>
      <c r="N168" s="22">
        <f>IF(AND('CASH FLOW'!N168=0,BUDGET!N168=0),"",'CASH FLOW'!N168-BUDGET!N168)</f>
        <v/>
      </c>
      <c r="O168" s="22">
        <f>IF(AND('CASH FLOW'!O168=0,BUDGET!O168=0),"",'CASH FLOW'!O168-BUDGET!O168)</f>
        <v/>
      </c>
      <c r="Q168" s="23">
        <f>IF(BUDGET!O168=0,"",('CASH FLOW'!O168-BUDGET!O168)/ABS(BUDGET!O168))</f>
        <v/>
      </c>
    </row>
    <row r="169">
      <c r="A169" s="13">
        <f>'CASH FLOW'!A169</f>
        <v/>
      </c>
      <c r="B169" s="13">
        <f>'CASH FLOW'!B169</f>
        <v/>
      </c>
      <c r="C169" s="22">
        <f>IF(AND('CASH FLOW'!C169=0,BUDGET!C169=0),"",'CASH FLOW'!C169-BUDGET!C169)</f>
        <v/>
      </c>
      <c r="D169" s="22">
        <f>IF(AND('CASH FLOW'!D169=0,BUDGET!D169=0),"",'CASH FLOW'!D169-BUDGET!D169)</f>
        <v/>
      </c>
      <c r="E169" s="22">
        <f>IF(AND('CASH FLOW'!E169=0,BUDGET!E169=0),"",'CASH FLOW'!E169-BUDGET!E169)</f>
        <v/>
      </c>
      <c r="F169" s="22">
        <f>IF(AND('CASH FLOW'!F169=0,BUDGET!F169=0),"",'CASH FLOW'!F169-BUDGET!F169)</f>
        <v/>
      </c>
      <c r="G169" s="22">
        <f>IF(AND('CASH FLOW'!G169=0,BUDGET!G169=0),"",'CASH FLOW'!G169-BUDGET!G169)</f>
        <v/>
      </c>
      <c r="H169" s="22">
        <f>IF(AND('CASH FLOW'!H169=0,BUDGET!H169=0),"",'CASH FLOW'!H169-BUDGET!H169)</f>
        <v/>
      </c>
      <c r="I169" s="22">
        <f>IF(AND('CASH FLOW'!I169=0,BUDGET!I169=0),"",'CASH FLOW'!I169-BUDGET!I169)</f>
        <v/>
      </c>
      <c r="J169" s="22">
        <f>IF(AND('CASH FLOW'!J169=0,BUDGET!J169=0),"",'CASH FLOW'!J169-BUDGET!J169)</f>
        <v/>
      </c>
      <c r="K169" s="22">
        <f>IF(AND('CASH FLOW'!K169=0,BUDGET!K169=0),"",'CASH FLOW'!K169-BUDGET!K169)</f>
        <v/>
      </c>
      <c r="L169" s="22">
        <f>IF(AND('CASH FLOW'!L169=0,BUDGET!L169=0),"",'CASH FLOW'!L169-BUDGET!L169)</f>
        <v/>
      </c>
      <c r="M169" s="22">
        <f>IF(AND('CASH FLOW'!M169=0,BUDGET!M169=0),"",'CASH FLOW'!M169-BUDGET!M169)</f>
        <v/>
      </c>
      <c r="N169" s="22">
        <f>IF(AND('CASH FLOW'!N169=0,BUDGET!N169=0),"",'CASH FLOW'!N169-BUDGET!N169)</f>
        <v/>
      </c>
      <c r="O169" s="22">
        <f>IF(AND('CASH FLOW'!O169=0,BUDGET!O169=0),"",'CASH FLOW'!O169-BUDGET!O169)</f>
        <v/>
      </c>
      <c r="Q169" s="23">
        <f>IF(BUDGET!O169=0,"",('CASH FLOW'!O169-BUDGET!O169)/ABS(BUDGET!O169))</f>
        <v/>
      </c>
    </row>
    <row r="170">
      <c r="A170" s="13">
        <f>'CASH FLOW'!A170</f>
        <v/>
      </c>
      <c r="B170" s="13">
        <f>'CASH FLOW'!B170</f>
        <v/>
      </c>
      <c r="C170" s="22">
        <f>IF(AND('CASH FLOW'!C170=0,BUDGET!C170=0),"",'CASH FLOW'!C170-BUDGET!C170)</f>
        <v/>
      </c>
      <c r="D170" s="22">
        <f>IF(AND('CASH FLOW'!D170=0,BUDGET!D170=0),"",'CASH FLOW'!D170-BUDGET!D170)</f>
        <v/>
      </c>
      <c r="E170" s="22">
        <f>IF(AND('CASH FLOW'!E170=0,BUDGET!E170=0),"",'CASH FLOW'!E170-BUDGET!E170)</f>
        <v/>
      </c>
      <c r="F170" s="22">
        <f>IF(AND('CASH FLOW'!F170=0,BUDGET!F170=0),"",'CASH FLOW'!F170-BUDGET!F170)</f>
        <v/>
      </c>
      <c r="G170" s="22">
        <f>IF(AND('CASH FLOW'!G170=0,BUDGET!G170=0),"",'CASH FLOW'!G170-BUDGET!G170)</f>
        <v/>
      </c>
      <c r="H170" s="22">
        <f>IF(AND('CASH FLOW'!H170=0,BUDGET!H170=0),"",'CASH FLOW'!H170-BUDGET!H170)</f>
        <v/>
      </c>
      <c r="I170" s="22">
        <f>IF(AND('CASH FLOW'!I170=0,BUDGET!I170=0),"",'CASH FLOW'!I170-BUDGET!I170)</f>
        <v/>
      </c>
      <c r="J170" s="22">
        <f>IF(AND('CASH FLOW'!J170=0,BUDGET!J170=0),"",'CASH FLOW'!J170-BUDGET!J170)</f>
        <v/>
      </c>
      <c r="K170" s="22">
        <f>IF(AND('CASH FLOW'!K170=0,BUDGET!K170=0),"",'CASH FLOW'!K170-BUDGET!K170)</f>
        <v/>
      </c>
      <c r="L170" s="22">
        <f>IF(AND('CASH FLOW'!L170=0,BUDGET!L170=0),"",'CASH FLOW'!L170-BUDGET!L170)</f>
        <v/>
      </c>
      <c r="M170" s="22">
        <f>IF(AND('CASH FLOW'!M170=0,BUDGET!M170=0),"",'CASH FLOW'!M170-BUDGET!M170)</f>
        <v/>
      </c>
      <c r="N170" s="22">
        <f>IF(AND('CASH FLOW'!N170=0,BUDGET!N170=0),"",'CASH FLOW'!N170-BUDGET!N170)</f>
        <v/>
      </c>
      <c r="O170" s="22">
        <f>IF(AND('CASH FLOW'!O170=0,BUDGET!O170=0),"",'CASH FLOW'!O170-BUDGET!O170)</f>
        <v/>
      </c>
      <c r="Q170" s="23">
        <f>IF(BUDGET!O170=0,"",('CASH FLOW'!O170-BUDGET!O170)/ABS(BUDGET!O170))</f>
        <v/>
      </c>
    </row>
    <row r="171">
      <c r="A171" s="13">
        <f>'CASH FLOW'!A171</f>
        <v/>
      </c>
      <c r="B171" s="13">
        <f>'CASH FLOW'!B171</f>
        <v/>
      </c>
      <c r="C171" s="22">
        <f>IF(AND('CASH FLOW'!C171=0,BUDGET!C171=0),"",'CASH FLOW'!C171-BUDGET!C171)</f>
        <v/>
      </c>
      <c r="D171" s="22">
        <f>IF(AND('CASH FLOW'!D171=0,BUDGET!D171=0),"",'CASH FLOW'!D171-BUDGET!D171)</f>
        <v/>
      </c>
      <c r="E171" s="22">
        <f>IF(AND('CASH FLOW'!E171=0,BUDGET!E171=0),"",'CASH FLOW'!E171-BUDGET!E171)</f>
        <v/>
      </c>
      <c r="F171" s="22">
        <f>IF(AND('CASH FLOW'!F171=0,BUDGET!F171=0),"",'CASH FLOW'!F171-BUDGET!F171)</f>
        <v/>
      </c>
      <c r="G171" s="22">
        <f>IF(AND('CASH FLOW'!G171=0,BUDGET!G171=0),"",'CASH FLOW'!G171-BUDGET!G171)</f>
        <v/>
      </c>
      <c r="H171" s="22">
        <f>IF(AND('CASH FLOW'!H171=0,BUDGET!H171=0),"",'CASH FLOW'!H171-BUDGET!H171)</f>
        <v/>
      </c>
      <c r="I171" s="22">
        <f>IF(AND('CASH FLOW'!I171=0,BUDGET!I171=0),"",'CASH FLOW'!I171-BUDGET!I171)</f>
        <v/>
      </c>
      <c r="J171" s="22">
        <f>IF(AND('CASH FLOW'!J171=0,BUDGET!J171=0),"",'CASH FLOW'!J171-BUDGET!J171)</f>
        <v/>
      </c>
      <c r="K171" s="22">
        <f>IF(AND('CASH FLOW'!K171=0,BUDGET!K171=0),"",'CASH FLOW'!K171-BUDGET!K171)</f>
        <v/>
      </c>
      <c r="L171" s="22">
        <f>IF(AND('CASH FLOW'!L171=0,BUDGET!L171=0),"",'CASH FLOW'!L171-BUDGET!L171)</f>
        <v/>
      </c>
      <c r="M171" s="22">
        <f>IF(AND('CASH FLOW'!M171=0,BUDGET!M171=0),"",'CASH FLOW'!M171-BUDGET!M171)</f>
        <v/>
      </c>
      <c r="N171" s="22">
        <f>IF(AND('CASH FLOW'!N171=0,BUDGET!N171=0),"",'CASH FLOW'!N171-BUDGET!N171)</f>
        <v/>
      </c>
      <c r="O171" s="22">
        <f>IF(AND('CASH FLOW'!O171=0,BUDGET!O171=0),"",'CASH FLOW'!O171-BUDGET!O171)</f>
        <v/>
      </c>
      <c r="Q171" s="23">
        <f>IF(BUDGET!O171=0,"",('CASH FLOW'!O171-BUDGET!O171)/ABS(BUDGET!O171))</f>
        <v/>
      </c>
    </row>
    <row r="172">
      <c r="A172" s="13">
        <f>'CASH FLOW'!A172</f>
        <v/>
      </c>
      <c r="B172" s="13">
        <f>'CASH FLOW'!B172</f>
        <v/>
      </c>
      <c r="C172" s="22">
        <f>IF(AND('CASH FLOW'!C172=0,BUDGET!C172=0),"",'CASH FLOW'!C172-BUDGET!C172)</f>
        <v/>
      </c>
      <c r="D172" s="22">
        <f>IF(AND('CASH FLOW'!D172=0,BUDGET!D172=0),"",'CASH FLOW'!D172-BUDGET!D172)</f>
        <v/>
      </c>
      <c r="E172" s="22">
        <f>IF(AND('CASH FLOW'!E172=0,BUDGET!E172=0),"",'CASH FLOW'!E172-BUDGET!E172)</f>
        <v/>
      </c>
      <c r="F172" s="22">
        <f>IF(AND('CASH FLOW'!F172=0,BUDGET!F172=0),"",'CASH FLOW'!F172-BUDGET!F172)</f>
        <v/>
      </c>
      <c r="G172" s="22">
        <f>IF(AND('CASH FLOW'!G172=0,BUDGET!G172=0),"",'CASH FLOW'!G172-BUDGET!G172)</f>
        <v/>
      </c>
      <c r="H172" s="22">
        <f>IF(AND('CASH FLOW'!H172=0,BUDGET!H172=0),"",'CASH FLOW'!H172-BUDGET!H172)</f>
        <v/>
      </c>
      <c r="I172" s="22">
        <f>IF(AND('CASH FLOW'!I172=0,BUDGET!I172=0),"",'CASH FLOW'!I172-BUDGET!I172)</f>
        <v/>
      </c>
      <c r="J172" s="22">
        <f>IF(AND('CASH FLOW'!J172=0,BUDGET!J172=0),"",'CASH FLOW'!J172-BUDGET!J172)</f>
        <v/>
      </c>
      <c r="K172" s="22">
        <f>IF(AND('CASH FLOW'!K172=0,BUDGET!K172=0),"",'CASH FLOW'!K172-BUDGET!K172)</f>
        <v/>
      </c>
      <c r="L172" s="22">
        <f>IF(AND('CASH FLOW'!L172=0,BUDGET!L172=0),"",'CASH FLOW'!L172-BUDGET!L172)</f>
        <v/>
      </c>
      <c r="M172" s="22">
        <f>IF(AND('CASH FLOW'!M172=0,BUDGET!M172=0),"",'CASH FLOW'!M172-BUDGET!M172)</f>
        <v/>
      </c>
      <c r="N172" s="22">
        <f>IF(AND('CASH FLOW'!N172=0,BUDGET!N172=0),"",'CASH FLOW'!N172-BUDGET!N172)</f>
        <v/>
      </c>
      <c r="O172" s="22">
        <f>IF(AND('CASH FLOW'!O172=0,BUDGET!O172=0),"",'CASH FLOW'!O172-BUDGET!O172)</f>
        <v/>
      </c>
      <c r="Q172" s="23">
        <f>IF(BUDGET!O172=0,"",('CASH FLOW'!O172-BUDGET!O172)/ABS(BUDGET!O172))</f>
        <v/>
      </c>
    </row>
    <row r="173">
      <c r="A173" s="13">
        <f>'CASH FLOW'!A173</f>
        <v/>
      </c>
      <c r="B173" s="13">
        <f>'CASH FLOW'!B173</f>
        <v/>
      </c>
      <c r="C173" s="22">
        <f>IF(AND('CASH FLOW'!C173=0,BUDGET!C173=0),"",'CASH FLOW'!C173-BUDGET!C173)</f>
        <v/>
      </c>
      <c r="D173" s="22">
        <f>IF(AND('CASH FLOW'!D173=0,BUDGET!D173=0),"",'CASH FLOW'!D173-BUDGET!D173)</f>
        <v/>
      </c>
      <c r="E173" s="22">
        <f>IF(AND('CASH FLOW'!E173=0,BUDGET!E173=0),"",'CASH FLOW'!E173-BUDGET!E173)</f>
        <v/>
      </c>
      <c r="F173" s="22">
        <f>IF(AND('CASH FLOW'!F173=0,BUDGET!F173=0),"",'CASH FLOW'!F173-BUDGET!F173)</f>
        <v/>
      </c>
      <c r="G173" s="22">
        <f>IF(AND('CASH FLOW'!G173=0,BUDGET!G173=0),"",'CASH FLOW'!G173-BUDGET!G173)</f>
        <v/>
      </c>
      <c r="H173" s="22">
        <f>IF(AND('CASH FLOW'!H173=0,BUDGET!H173=0),"",'CASH FLOW'!H173-BUDGET!H173)</f>
        <v/>
      </c>
      <c r="I173" s="22">
        <f>IF(AND('CASH FLOW'!I173=0,BUDGET!I173=0),"",'CASH FLOW'!I173-BUDGET!I173)</f>
        <v/>
      </c>
      <c r="J173" s="22">
        <f>IF(AND('CASH FLOW'!J173=0,BUDGET!J173=0),"",'CASH FLOW'!J173-BUDGET!J173)</f>
        <v/>
      </c>
      <c r="K173" s="22">
        <f>IF(AND('CASH FLOW'!K173=0,BUDGET!K173=0),"",'CASH FLOW'!K173-BUDGET!K173)</f>
        <v/>
      </c>
      <c r="L173" s="22">
        <f>IF(AND('CASH FLOW'!L173=0,BUDGET!L173=0),"",'CASH FLOW'!L173-BUDGET!L173)</f>
        <v/>
      </c>
      <c r="M173" s="22">
        <f>IF(AND('CASH FLOW'!M173=0,BUDGET!M173=0),"",'CASH FLOW'!M173-BUDGET!M173)</f>
        <v/>
      </c>
      <c r="N173" s="22">
        <f>IF(AND('CASH FLOW'!N173=0,BUDGET!N173=0),"",'CASH FLOW'!N173-BUDGET!N173)</f>
        <v/>
      </c>
      <c r="O173" s="22">
        <f>IF(AND('CASH FLOW'!O173=0,BUDGET!O173=0),"",'CASH FLOW'!O173-BUDGET!O173)</f>
        <v/>
      </c>
      <c r="Q173" s="23">
        <f>IF(BUDGET!O173=0,"",('CASH FLOW'!O173-BUDGET!O173)/ABS(BUDGET!O173))</f>
        <v/>
      </c>
    </row>
    <row r="174">
      <c r="A174" s="13">
        <f>'CASH FLOW'!A174</f>
        <v/>
      </c>
      <c r="B174" s="13">
        <f>'CASH FLOW'!B174</f>
        <v/>
      </c>
      <c r="C174" s="22">
        <f>IF(AND('CASH FLOW'!C174=0,BUDGET!C174=0),"",'CASH FLOW'!C174-BUDGET!C174)</f>
        <v/>
      </c>
      <c r="D174" s="22">
        <f>IF(AND('CASH FLOW'!D174=0,BUDGET!D174=0),"",'CASH FLOW'!D174-BUDGET!D174)</f>
        <v/>
      </c>
      <c r="E174" s="22">
        <f>IF(AND('CASH FLOW'!E174=0,BUDGET!E174=0),"",'CASH FLOW'!E174-BUDGET!E174)</f>
        <v/>
      </c>
      <c r="F174" s="22">
        <f>IF(AND('CASH FLOW'!F174=0,BUDGET!F174=0),"",'CASH FLOW'!F174-BUDGET!F174)</f>
        <v/>
      </c>
      <c r="G174" s="22">
        <f>IF(AND('CASH FLOW'!G174=0,BUDGET!G174=0),"",'CASH FLOW'!G174-BUDGET!G174)</f>
        <v/>
      </c>
      <c r="H174" s="22">
        <f>IF(AND('CASH FLOW'!H174=0,BUDGET!H174=0),"",'CASH FLOW'!H174-BUDGET!H174)</f>
        <v/>
      </c>
      <c r="I174" s="22">
        <f>IF(AND('CASH FLOW'!I174=0,BUDGET!I174=0),"",'CASH FLOW'!I174-BUDGET!I174)</f>
        <v/>
      </c>
      <c r="J174" s="22">
        <f>IF(AND('CASH FLOW'!J174=0,BUDGET!J174=0),"",'CASH FLOW'!J174-BUDGET!J174)</f>
        <v/>
      </c>
      <c r="K174" s="22">
        <f>IF(AND('CASH FLOW'!K174=0,BUDGET!K174=0),"",'CASH FLOW'!K174-BUDGET!K174)</f>
        <v/>
      </c>
      <c r="L174" s="22">
        <f>IF(AND('CASH FLOW'!L174=0,BUDGET!L174=0),"",'CASH FLOW'!L174-BUDGET!L174)</f>
        <v/>
      </c>
      <c r="M174" s="22">
        <f>IF(AND('CASH FLOW'!M174=0,BUDGET!M174=0),"",'CASH FLOW'!M174-BUDGET!M174)</f>
        <v/>
      </c>
      <c r="N174" s="22">
        <f>IF(AND('CASH FLOW'!N174=0,BUDGET!N174=0),"",'CASH FLOW'!N174-BUDGET!N174)</f>
        <v/>
      </c>
      <c r="O174" s="22">
        <f>IF(AND('CASH FLOW'!O174=0,BUDGET!O174=0),"",'CASH FLOW'!O174-BUDGET!O174)</f>
        <v/>
      </c>
      <c r="Q174" s="23">
        <f>IF(BUDGET!O174=0,"",('CASH FLOW'!O174-BUDGET!O174)/ABS(BUDGET!O174))</f>
        <v/>
      </c>
    </row>
    <row r="175">
      <c r="A175" s="13">
        <f>'CASH FLOW'!A175</f>
        <v/>
      </c>
      <c r="B175" s="13">
        <f>'CASH FLOW'!B175</f>
        <v/>
      </c>
      <c r="C175" s="22">
        <f>IF(AND('CASH FLOW'!C175=0,BUDGET!C175=0),"",'CASH FLOW'!C175-BUDGET!C175)</f>
        <v/>
      </c>
      <c r="D175" s="22">
        <f>IF(AND('CASH FLOW'!D175=0,BUDGET!D175=0),"",'CASH FLOW'!D175-BUDGET!D175)</f>
        <v/>
      </c>
      <c r="E175" s="22">
        <f>IF(AND('CASH FLOW'!E175=0,BUDGET!E175=0),"",'CASH FLOW'!E175-BUDGET!E175)</f>
        <v/>
      </c>
      <c r="F175" s="22">
        <f>IF(AND('CASH FLOW'!F175=0,BUDGET!F175=0),"",'CASH FLOW'!F175-BUDGET!F175)</f>
        <v/>
      </c>
      <c r="G175" s="22">
        <f>IF(AND('CASH FLOW'!G175=0,BUDGET!G175=0),"",'CASH FLOW'!G175-BUDGET!G175)</f>
        <v/>
      </c>
      <c r="H175" s="22">
        <f>IF(AND('CASH FLOW'!H175=0,BUDGET!H175=0),"",'CASH FLOW'!H175-BUDGET!H175)</f>
        <v/>
      </c>
      <c r="I175" s="22">
        <f>IF(AND('CASH FLOW'!I175=0,BUDGET!I175=0),"",'CASH FLOW'!I175-BUDGET!I175)</f>
        <v/>
      </c>
      <c r="J175" s="22">
        <f>IF(AND('CASH FLOW'!J175=0,BUDGET!J175=0),"",'CASH FLOW'!J175-BUDGET!J175)</f>
        <v/>
      </c>
      <c r="K175" s="22">
        <f>IF(AND('CASH FLOW'!K175=0,BUDGET!K175=0),"",'CASH FLOW'!K175-BUDGET!K175)</f>
        <v/>
      </c>
      <c r="L175" s="22">
        <f>IF(AND('CASH FLOW'!L175=0,BUDGET!L175=0),"",'CASH FLOW'!L175-BUDGET!L175)</f>
        <v/>
      </c>
      <c r="M175" s="22">
        <f>IF(AND('CASH FLOW'!M175=0,BUDGET!M175=0),"",'CASH FLOW'!M175-BUDGET!M175)</f>
        <v/>
      </c>
      <c r="N175" s="22">
        <f>IF(AND('CASH FLOW'!N175=0,BUDGET!N175=0),"",'CASH FLOW'!N175-BUDGET!N175)</f>
        <v/>
      </c>
      <c r="O175" s="22">
        <f>IF(AND('CASH FLOW'!O175=0,BUDGET!O175=0),"",'CASH FLOW'!O175-BUDGET!O175)</f>
        <v/>
      </c>
      <c r="Q175" s="23">
        <f>IF(BUDGET!O175=0,"",('CASH FLOW'!O175-BUDGET!O175)/ABS(BUDGET!O175))</f>
        <v/>
      </c>
    </row>
    <row r="176">
      <c r="A176" s="13">
        <f>'CASH FLOW'!A176</f>
        <v/>
      </c>
      <c r="B176" s="13">
        <f>'CASH FLOW'!B176</f>
        <v/>
      </c>
      <c r="C176" s="22">
        <f>IF(AND('CASH FLOW'!C176=0,BUDGET!C176=0),"",'CASH FLOW'!C176-BUDGET!C176)</f>
        <v/>
      </c>
      <c r="D176" s="22">
        <f>IF(AND('CASH FLOW'!D176=0,BUDGET!D176=0),"",'CASH FLOW'!D176-BUDGET!D176)</f>
        <v/>
      </c>
      <c r="E176" s="22">
        <f>IF(AND('CASH FLOW'!E176=0,BUDGET!E176=0),"",'CASH FLOW'!E176-BUDGET!E176)</f>
        <v/>
      </c>
      <c r="F176" s="22">
        <f>IF(AND('CASH FLOW'!F176=0,BUDGET!F176=0),"",'CASH FLOW'!F176-BUDGET!F176)</f>
        <v/>
      </c>
      <c r="G176" s="22">
        <f>IF(AND('CASH FLOW'!G176=0,BUDGET!G176=0),"",'CASH FLOW'!G176-BUDGET!G176)</f>
        <v/>
      </c>
      <c r="H176" s="22">
        <f>IF(AND('CASH FLOW'!H176=0,BUDGET!H176=0),"",'CASH FLOW'!H176-BUDGET!H176)</f>
        <v/>
      </c>
      <c r="I176" s="22">
        <f>IF(AND('CASH FLOW'!I176=0,BUDGET!I176=0),"",'CASH FLOW'!I176-BUDGET!I176)</f>
        <v/>
      </c>
      <c r="J176" s="22">
        <f>IF(AND('CASH FLOW'!J176=0,BUDGET!J176=0),"",'CASH FLOW'!J176-BUDGET!J176)</f>
        <v/>
      </c>
      <c r="K176" s="22">
        <f>IF(AND('CASH FLOW'!K176=0,BUDGET!K176=0),"",'CASH FLOW'!K176-BUDGET!K176)</f>
        <v/>
      </c>
      <c r="L176" s="22">
        <f>IF(AND('CASH FLOW'!L176=0,BUDGET!L176=0),"",'CASH FLOW'!L176-BUDGET!L176)</f>
        <v/>
      </c>
      <c r="M176" s="22">
        <f>IF(AND('CASH FLOW'!M176=0,BUDGET!M176=0),"",'CASH FLOW'!M176-BUDGET!M176)</f>
        <v/>
      </c>
      <c r="N176" s="22">
        <f>IF(AND('CASH FLOW'!N176=0,BUDGET!N176=0),"",'CASH FLOW'!N176-BUDGET!N176)</f>
        <v/>
      </c>
      <c r="O176" s="22">
        <f>IF(AND('CASH FLOW'!O176=0,BUDGET!O176=0),"",'CASH FLOW'!O176-BUDGET!O176)</f>
        <v/>
      </c>
      <c r="Q176" s="23">
        <f>IF(BUDGET!O176=0,"",('CASH FLOW'!O176-BUDGET!O176)/ABS(BUDGET!O176))</f>
        <v/>
      </c>
    </row>
    <row r="177">
      <c r="A177" s="13">
        <f>'CASH FLOW'!A177</f>
        <v/>
      </c>
      <c r="B177" s="13">
        <f>'CASH FLOW'!B177</f>
        <v/>
      </c>
      <c r="C177" s="22">
        <f>IF(AND('CASH FLOW'!C177=0,BUDGET!C177=0),"",'CASH FLOW'!C177-BUDGET!C177)</f>
        <v/>
      </c>
      <c r="D177" s="22">
        <f>IF(AND('CASH FLOW'!D177=0,BUDGET!D177=0),"",'CASH FLOW'!D177-BUDGET!D177)</f>
        <v/>
      </c>
      <c r="E177" s="22">
        <f>IF(AND('CASH FLOW'!E177=0,BUDGET!E177=0),"",'CASH FLOW'!E177-BUDGET!E177)</f>
        <v/>
      </c>
      <c r="F177" s="22">
        <f>IF(AND('CASH FLOW'!F177=0,BUDGET!F177=0),"",'CASH FLOW'!F177-BUDGET!F177)</f>
        <v/>
      </c>
      <c r="G177" s="22">
        <f>IF(AND('CASH FLOW'!G177=0,BUDGET!G177=0),"",'CASH FLOW'!G177-BUDGET!G177)</f>
        <v/>
      </c>
      <c r="H177" s="22">
        <f>IF(AND('CASH FLOW'!H177=0,BUDGET!H177=0),"",'CASH FLOW'!H177-BUDGET!H177)</f>
        <v/>
      </c>
      <c r="I177" s="22">
        <f>IF(AND('CASH FLOW'!I177=0,BUDGET!I177=0),"",'CASH FLOW'!I177-BUDGET!I177)</f>
        <v/>
      </c>
      <c r="J177" s="22">
        <f>IF(AND('CASH FLOW'!J177=0,BUDGET!J177=0),"",'CASH FLOW'!J177-BUDGET!J177)</f>
        <v/>
      </c>
      <c r="K177" s="22">
        <f>IF(AND('CASH FLOW'!K177=0,BUDGET!K177=0),"",'CASH FLOW'!K177-BUDGET!K177)</f>
        <v/>
      </c>
      <c r="L177" s="22">
        <f>IF(AND('CASH FLOW'!L177=0,BUDGET!L177=0),"",'CASH FLOW'!L177-BUDGET!L177)</f>
        <v/>
      </c>
      <c r="M177" s="22">
        <f>IF(AND('CASH FLOW'!M177=0,BUDGET!M177=0),"",'CASH FLOW'!M177-BUDGET!M177)</f>
        <v/>
      </c>
      <c r="N177" s="22">
        <f>IF(AND('CASH FLOW'!N177=0,BUDGET!N177=0),"",'CASH FLOW'!N177-BUDGET!N177)</f>
        <v/>
      </c>
      <c r="O177" s="22">
        <f>IF(AND('CASH FLOW'!O177=0,BUDGET!O177=0),"",'CASH FLOW'!O177-BUDGET!O177)</f>
        <v/>
      </c>
      <c r="Q177" s="23">
        <f>IF(BUDGET!O177=0,"",('CASH FLOW'!O177-BUDGET!O177)/ABS(BUDGET!O177))</f>
        <v/>
      </c>
    </row>
    <row r="178">
      <c r="A178" s="13">
        <f>'CASH FLOW'!A178</f>
        <v/>
      </c>
      <c r="B178" s="13">
        <f>'CASH FLOW'!B178</f>
        <v/>
      </c>
      <c r="C178" s="22">
        <f>IF(AND('CASH FLOW'!C178=0,BUDGET!C178=0),"",'CASH FLOW'!C178-BUDGET!C178)</f>
        <v/>
      </c>
      <c r="D178" s="22">
        <f>IF(AND('CASH FLOW'!D178=0,BUDGET!D178=0),"",'CASH FLOW'!D178-BUDGET!D178)</f>
        <v/>
      </c>
      <c r="E178" s="22">
        <f>IF(AND('CASH FLOW'!E178=0,BUDGET!E178=0),"",'CASH FLOW'!E178-BUDGET!E178)</f>
        <v/>
      </c>
      <c r="F178" s="22">
        <f>IF(AND('CASH FLOW'!F178=0,BUDGET!F178=0),"",'CASH FLOW'!F178-BUDGET!F178)</f>
        <v/>
      </c>
      <c r="G178" s="22">
        <f>IF(AND('CASH FLOW'!G178=0,BUDGET!G178=0),"",'CASH FLOW'!G178-BUDGET!G178)</f>
        <v/>
      </c>
      <c r="H178" s="22">
        <f>IF(AND('CASH FLOW'!H178=0,BUDGET!H178=0),"",'CASH FLOW'!H178-BUDGET!H178)</f>
        <v/>
      </c>
      <c r="I178" s="22">
        <f>IF(AND('CASH FLOW'!I178=0,BUDGET!I178=0),"",'CASH FLOW'!I178-BUDGET!I178)</f>
        <v/>
      </c>
      <c r="J178" s="22">
        <f>IF(AND('CASH FLOW'!J178=0,BUDGET!J178=0),"",'CASH FLOW'!J178-BUDGET!J178)</f>
        <v/>
      </c>
      <c r="K178" s="22">
        <f>IF(AND('CASH FLOW'!K178=0,BUDGET!K178=0),"",'CASH FLOW'!K178-BUDGET!K178)</f>
        <v/>
      </c>
      <c r="L178" s="22">
        <f>IF(AND('CASH FLOW'!L178=0,BUDGET!L178=0),"",'CASH FLOW'!L178-BUDGET!L178)</f>
        <v/>
      </c>
      <c r="M178" s="22">
        <f>IF(AND('CASH FLOW'!M178=0,BUDGET!M178=0),"",'CASH FLOW'!M178-BUDGET!M178)</f>
        <v/>
      </c>
      <c r="N178" s="22">
        <f>IF(AND('CASH FLOW'!N178=0,BUDGET!N178=0),"",'CASH FLOW'!N178-BUDGET!N178)</f>
        <v/>
      </c>
      <c r="O178" s="22">
        <f>IF(AND('CASH FLOW'!O178=0,BUDGET!O178=0),"",'CASH FLOW'!O178-BUDGET!O178)</f>
        <v/>
      </c>
      <c r="Q178" s="23">
        <f>IF(BUDGET!O178=0,"",('CASH FLOW'!O178-BUDGET!O178)/ABS(BUDGET!O178))</f>
        <v/>
      </c>
    </row>
    <row r="179">
      <c r="A179" s="13">
        <f>'CASH FLOW'!A179</f>
        <v/>
      </c>
      <c r="B179" s="13">
        <f>'CASH FLOW'!B179</f>
        <v/>
      </c>
      <c r="C179" s="22">
        <f>IF(AND('CASH FLOW'!C179=0,BUDGET!C179=0),"",'CASH FLOW'!C179-BUDGET!C179)</f>
        <v/>
      </c>
      <c r="D179" s="22">
        <f>IF(AND('CASH FLOW'!D179=0,BUDGET!D179=0),"",'CASH FLOW'!D179-BUDGET!D179)</f>
        <v/>
      </c>
      <c r="E179" s="22">
        <f>IF(AND('CASH FLOW'!E179=0,BUDGET!E179=0),"",'CASH FLOW'!E179-BUDGET!E179)</f>
        <v/>
      </c>
      <c r="F179" s="22">
        <f>IF(AND('CASH FLOW'!F179=0,BUDGET!F179=0),"",'CASH FLOW'!F179-BUDGET!F179)</f>
        <v/>
      </c>
      <c r="G179" s="22">
        <f>IF(AND('CASH FLOW'!G179=0,BUDGET!G179=0),"",'CASH FLOW'!G179-BUDGET!G179)</f>
        <v/>
      </c>
      <c r="H179" s="22">
        <f>IF(AND('CASH FLOW'!H179=0,BUDGET!H179=0),"",'CASH FLOW'!H179-BUDGET!H179)</f>
        <v/>
      </c>
      <c r="I179" s="22">
        <f>IF(AND('CASH FLOW'!I179=0,BUDGET!I179=0),"",'CASH FLOW'!I179-BUDGET!I179)</f>
        <v/>
      </c>
      <c r="J179" s="22">
        <f>IF(AND('CASH FLOW'!J179=0,BUDGET!J179=0),"",'CASH FLOW'!J179-BUDGET!J179)</f>
        <v/>
      </c>
      <c r="K179" s="22">
        <f>IF(AND('CASH FLOW'!K179=0,BUDGET!K179=0),"",'CASH FLOW'!K179-BUDGET!K179)</f>
        <v/>
      </c>
      <c r="L179" s="22">
        <f>IF(AND('CASH FLOW'!L179=0,BUDGET!L179=0),"",'CASH FLOW'!L179-BUDGET!L179)</f>
        <v/>
      </c>
      <c r="M179" s="22">
        <f>IF(AND('CASH FLOW'!M179=0,BUDGET!M179=0),"",'CASH FLOW'!M179-BUDGET!M179)</f>
        <v/>
      </c>
      <c r="N179" s="22">
        <f>IF(AND('CASH FLOW'!N179=0,BUDGET!N179=0),"",'CASH FLOW'!N179-BUDGET!N179)</f>
        <v/>
      </c>
      <c r="O179" s="22">
        <f>IF(AND('CASH FLOW'!O179=0,BUDGET!O179=0),"",'CASH FLOW'!O179-BUDGET!O179)</f>
        <v/>
      </c>
      <c r="Q179" s="23">
        <f>IF(BUDGET!O179=0,"",('CASH FLOW'!O179-BUDGET!O179)/ABS(BUDGET!O179))</f>
        <v/>
      </c>
    </row>
    <row r="180">
      <c r="A180" s="13">
        <f>'CASH FLOW'!A180</f>
        <v/>
      </c>
      <c r="B180" s="13">
        <f>'CASH FLOW'!B180</f>
        <v/>
      </c>
      <c r="C180" s="22">
        <f>IF(AND('CASH FLOW'!C180=0,BUDGET!C180=0),"",'CASH FLOW'!C180-BUDGET!C180)</f>
        <v/>
      </c>
      <c r="D180" s="22">
        <f>IF(AND('CASH FLOW'!D180=0,BUDGET!D180=0),"",'CASH FLOW'!D180-BUDGET!D180)</f>
        <v/>
      </c>
      <c r="E180" s="22">
        <f>IF(AND('CASH FLOW'!E180=0,BUDGET!E180=0),"",'CASH FLOW'!E180-BUDGET!E180)</f>
        <v/>
      </c>
      <c r="F180" s="22">
        <f>IF(AND('CASH FLOW'!F180=0,BUDGET!F180=0),"",'CASH FLOW'!F180-BUDGET!F180)</f>
        <v/>
      </c>
      <c r="G180" s="22">
        <f>IF(AND('CASH FLOW'!G180=0,BUDGET!G180=0),"",'CASH FLOW'!G180-BUDGET!G180)</f>
        <v/>
      </c>
      <c r="H180" s="22">
        <f>IF(AND('CASH FLOW'!H180=0,BUDGET!H180=0),"",'CASH FLOW'!H180-BUDGET!H180)</f>
        <v/>
      </c>
      <c r="I180" s="22">
        <f>IF(AND('CASH FLOW'!I180=0,BUDGET!I180=0),"",'CASH FLOW'!I180-BUDGET!I180)</f>
        <v/>
      </c>
      <c r="J180" s="22">
        <f>IF(AND('CASH FLOW'!J180=0,BUDGET!J180=0),"",'CASH FLOW'!J180-BUDGET!J180)</f>
        <v/>
      </c>
      <c r="K180" s="22">
        <f>IF(AND('CASH FLOW'!K180=0,BUDGET!K180=0),"",'CASH FLOW'!K180-BUDGET!K180)</f>
        <v/>
      </c>
      <c r="L180" s="22">
        <f>IF(AND('CASH FLOW'!L180=0,BUDGET!L180=0),"",'CASH FLOW'!L180-BUDGET!L180)</f>
        <v/>
      </c>
      <c r="M180" s="22">
        <f>IF(AND('CASH FLOW'!M180=0,BUDGET!M180=0),"",'CASH FLOW'!M180-BUDGET!M180)</f>
        <v/>
      </c>
      <c r="N180" s="22">
        <f>IF(AND('CASH FLOW'!N180=0,BUDGET!N180=0),"",'CASH FLOW'!N180-BUDGET!N180)</f>
        <v/>
      </c>
      <c r="O180" s="22">
        <f>IF(AND('CASH FLOW'!O180=0,BUDGET!O180=0),"",'CASH FLOW'!O180-BUDGET!O180)</f>
        <v/>
      </c>
      <c r="Q180" s="23">
        <f>IF(BUDGET!O180=0,"",('CASH FLOW'!O180-BUDGET!O180)/ABS(BUDGET!O180))</f>
        <v/>
      </c>
    </row>
    <row r="181">
      <c r="A181" s="13">
        <f>'CASH FLOW'!A181</f>
        <v/>
      </c>
      <c r="B181" s="13">
        <f>'CASH FLOW'!B181</f>
        <v/>
      </c>
      <c r="C181" s="22">
        <f>IF(AND('CASH FLOW'!C181=0,BUDGET!C181=0),"",'CASH FLOW'!C181-BUDGET!C181)</f>
        <v/>
      </c>
      <c r="D181" s="22">
        <f>IF(AND('CASH FLOW'!D181=0,BUDGET!D181=0),"",'CASH FLOW'!D181-BUDGET!D181)</f>
        <v/>
      </c>
      <c r="E181" s="22">
        <f>IF(AND('CASH FLOW'!E181=0,BUDGET!E181=0),"",'CASH FLOW'!E181-BUDGET!E181)</f>
        <v/>
      </c>
      <c r="F181" s="22">
        <f>IF(AND('CASH FLOW'!F181=0,BUDGET!F181=0),"",'CASH FLOW'!F181-BUDGET!F181)</f>
        <v/>
      </c>
      <c r="G181" s="22">
        <f>IF(AND('CASH FLOW'!G181=0,BUDGET!G181=0),"",'CASH FLOW'!G181-BUDGET!G181)</f>
        <v/>
      </c>
      <c r="H181" s="22">
        <f>IF(AND('CASH FLOW'!H181=0,BUDGET!H181=0),"",'CASH FLOW'!H181-BUDGET!H181)</f>
        <v/>
      </c>
      <c r="I181" s="22">
        <f>IF(AND('CASH FLOW'!I181=0,BUDGET!I181=0),"",'CASH FLOW'!I181-BUDGET!I181)</f>
        <v/>
      </c>
      <c r="J181" s="22">
        <f>IF(AND('CASH FLOW'!J181=0,BUDGET!J181=0),"",'CASH FLOW'!J181-BUDGET!J181)</f>
        <v/>
      </c>
      <c r="K181" s="22">
        <f>IF(AND('CASH FLOW'!K181=0,BUDGET!K181=0),"",'CASH FLOW'!K181-BUDGET!K181)</f>
        <v/>
      </c>
      <c r="L181" s="22">
        <f>IF(AND('CASH FLOW'!L181=0,BUDGET!L181=0),"",'CASH FLOW'!L181-BUDGET!L181)</f>
        <v/>
      </c>
      <c r="M181" s="22">
        <f>IF(AND('CASH FLOW'!M181=0,BUDGET!M181=0),"",'CASH FLOW'!M181-BUDGET!M181)</f>
        <v/>
      </c>
      <c r="N181" s="22">
        <f>IF(AND('CASH FLOW'!N181=0,BUDGET!N181=0),"",'CASH FLOW'!N181-BUDGET!N181)</f>
        <v/>
      </c>
      <c r="O181" s="22">
        <f>IF(AND('CASH FLOW'!O181=0,BUDGET!O181=0),"",'CASH FLOW'!O181-BUDGET!O181)</f>
        <v/>
      </c>
      <c r="Q181" s="23">
        <f>IF(BUDGET!O181=0,"",('CASH FLOW'!O181-BUDGET!O181)/ABS(BUDGET!O181))</f>
        <v/>
      </c>
    </row>
    <row r="182">
      <c r="A182" s="13">
        <f>'CASH FLOW'!A182</f>
        <v/>
      </c>
      <c r="B182" s="13">
        <f>'CASH FLOW'!B182</f>
        <v/>
      </c>
      <c r="C182" s="22">
        <f>IF(AND('CASH FLOW'!C182=0,BUDGET!C182=0),"",'CASH FLOW'!C182-BUDGET!C182)</f>
        <v/>
      </c>
      <c r="D182" s="22">
        <f>IF(AND('CASH FLOW'!D182=0,BUDGET!D182=0),"",'CASH FLOW'!D182-BUDGET!D182)</f>
        <v/>
      </c>
      <c r="E182" s="22">
        <f>IF(AND('CASH FLOW'!E182=0,BUDGET!E182=0),"",'CASH FLOW'!E182-BUDGET!E182)</f>
        <v/>
      </c>
      <c r="F182" s="22">
        <f>IF(AND('CASH FLOW'!F182=0,BUDGET!F182=0),"",'CASH FLOW'!F182-BUDGET!F182)</f>
        <v/>
      </c>
      <c r="G182" s="22">
        <f>IF(AND('CASH FLOW'!G182=0,BUDGET!G182=0),"",'CASH FLOW'!G182-BUDGET!G182)</f>
        <v/>
      </c>
      <c r="H182" s="22">
        <f>IF(AND('CASH FLOW'!H182=0,BUDGET!H182=0),"",'CASH FLOW'!H182-BUDGET!H182)</f>
        <v/>
      </c>
      <c r="I182" s="22">
        <f>IF(AND('CASH FLOW'!I182=0,BUDGET!I182=0),"",'CASH FLOW'!I182-BUDGET!I182)</f>
        <v/>
      </c>
      <c r="J182" s="22">
        <f>IF(AND('CASH FLOW'!J182=0,BUDGET!J182=0),"",'CASH FLOW'!J182-BUDGET!J182)</f>
        <v/>
      </c>
      <c r="K182" s="22">
        <f>IF(AND('CASH FLOW'!K182=0,BUDGET!K182=0),"",'CASH FLOW'!K182-BUDGET!K182)</f>
        <v/>
      </c>
      <c r="L182" s="22">
        <f>IF(AND('CASH FLOW'!L182=0,BUDGET!L182=0),"",'CASH FLOW'!L182-BUDGET!L182)</f>
        <v/>
      </c>
      <c r="M182" s="22">
        <f>IF(AND('CASH FLOW'!M182=0,BUDGET!M182=0),"",'CASH FLOW'!M182-BUDGET!M182)</f>
        <v/>
      </c>
      <c r="N182" s="22">
        <f>IF(AND('CASH FLOW'!N182=0,BUDGET!N182=0),"",'CASH FLOW'!N182-BUDGET!N182)</f>
        <v/>
      </c>
      <c r="O182" s="22">
        <f>IF(AND('CASH FLOW'!O182=0,BUDGET!O182=0),"",'CASH FLOW'!O182-BUDGET!O182)</f>
        <v/>
      </c>
      <c r="Q182" s="23">
        <f>IF(BUDGET!O182=0,"",('CASH FLOW'!O182-BUDGET!O182)/ABS(BUDGET!O182))</f>
        <v/>
      </c>
    </row>
    <row r="183">
      <c r="A183" s="13">
        <f>'CASH FLOW'!A183</f>
        <v/>
      </c>
      <c r="B183" s="13">
        <f>'CASH FLOW'!B183</f>
        <v/>
      </c>
      <c r="C183" s="22">
        <f>IF(AND('CASH FLOW'!C183=0,BUDGET!C183=0),"",'CASH FLOW'!C183-BUDGET!C183)</f>
        <v/>
      </c>
      <c r="D183" s="22">
        <f>IF(AND('CASH FLOW'!D183=0,BUDGET!D183=0),"",'CASH FLOW'!D183-BUDGET!D183)</f>
        <v/>
      </c>
      <c r="E183" s="22">
        <f>IF(AND('CASH FLOW'!E183=0,BUDGET!E183=0),"",'CASH FLOW'!E183-BUDGET!E183)</f>
        <v/>
      </c>
      <c r="F183" s="22">
        <f>IF(AND('CASH FLOW'!F183=0,BUDGET!F183=0),"",'CASH FLOW'!F183-BUDGET!F183)</f>
        <v/>
      </c>
      <c r="G183" s="22">
        <f>IF(AND('CASH FLOW'!G183=0,BUDGET!G183=0),"",'CASH FLOW'!G183-BUDGET!G183)</f>
        <v/>
      </c>
      <c r="H183" s="22">
        <f>IF(AND('CASH FLOW'!H183=0,BUDGET!H183=0),"",'CASH FLOW'!H183-BUDGET!H183)</f>
        <v/>
      </c>
      <c r="I183" s="22">
        <f>IF(AND('CASH FLOW'!I183=0,BUDGET!I183=0),"",'CASH FLOW'!I183-BUDGET!I183)</f>
        <v/>
      </c>
      <c r="J183" s="22">
        <f>IF(AND('CASH FLOW'!J183=0,BUDGET!J183=0),"",'CASH FLOW'!J183-BUDGET!J183)</f>
        <v/>
      </c>
      <c r="K183" s="22">
        <f>IF(AND('CASH FLOW'!K183=0,BUDGET!K183=0),"",'CASH FLOW'!K183-BUDGET!K183)</f>
        <v/>
      </c>
      <c r="L183" s="22">
        <f>IF(AND('CASH FLOW'!L183=0,BUDGET!L183=0),"",'CASH FLOW'!L183-BUDGET!L183)</f>
        <v/>
      </c>
      <c r="M183" s="22">
        <f>IF(AND('CASH FLOW'!M183=0,BUDGET!M183=0),"",'CASH FLOW'!M183-BUDGET!M183)</f>
        <v/>
      </c>
      <c r="N183" s="22">
        <f>IF(AND('CASH FLOW'!N183=0,BUDGET!N183=0),"",'CASH FLOW'!N183-BUDGET!N183)</f>
        <v/>
      </c>
      <c r="O183" s="22">
        <f>IF(AND('CASH FLOW'!O183=0,BUDGET!O183=0),"",'CASH FLOW'!O183-BUDGET!O183)</f>
        <v/>
      </c>
      <c r="Q183" s="23">
        <f>IF(BUDGET!O183=0,"",('CASH FLOW'!O183-BUDGET!O183)/ABS(BUDGET!O183))</f>
        <v/>
      </c>
    </row>
    <row r="184">
      <c r="A184" s="13">
        <f>'CASH FLOW'!A184</f>
        <v/>
      </c>
      <c r="B184" s="13">
        <f>'CASH FLOW'!B184</f>
        <v/>
      </c>
      <c r="C184" s="22">
        <f>IF(AND('CASH FLOW'!C184=0,BUDGET!C184=0),"",'CASH FLOW'!C184-BUDGET!C184)</f>
        <v/>
      </c>
      <c r="D184" s="22">
        <f>IF(AND('CASH FLOW'!D184=0,BUDGET!D184=0),"",'CASH FLOW'!D184-BUDGET!D184)</f>
        <v/>
      </c>
      <c r="E184" s="22">
        <f>IF(AND('CASH FLOW'!E184=0,BUDGET!E184=0),"",'CASH FLOW'!E184-BUDGET!E184)</f>
        <v/>
      </c>
      <c r="F184" s="22">
        <f>IF(AND('CASH FLOW'!F184=0,BUDGET!F184=0),"",'CASH FLOW'!F184-BUDGET!F184)</f>
        <v/>
      </c>
      <c r="G184" s="22">
        <f>IF(AND('CASH FLOW'!G184=0,BUDGET!G184=0),"",'CASH FLOW'!G184-BUDGET!G184)</f>
        <v/>
      </c>
      <c r="H184" s="22">
        <f>IF(AND('CASH FLOW'!H184=0,BUDGET!H184=0),"",'CASH FLOW'!H184-BUDGET!H184)</f>
        <v/>
      </c>
      <c r="I184" s="22">
        <f>IF(AND('CASH FLOW'!I184=0,BUDGET!I184=0),"",'CASH FLOW'!I184-BUDGET!I184)</f>
        <v/>
      </c>
      <c r="J184" s="22">
        <f>IF(AND('CASH FLOW'!J184=0,BUDGET!J184=0),"",'CASH FLOW'!J184-BUDGET!J184)</f>
        <v/>
      </c>
      <c r="K184" s="22">
        <f>IF(AND('CASH FLOW'!K184=0,BUDGET!K184=0),"",'CASH FLOW'!K184-BUDGET!K184)</f>
        <v/>
      </c>
      <c r="L184" s="22">
        <f>IF(AND('CASH FLOW'!L184=0,BUDGET!L184=0),"",'CASH FLOW'!L184-BUDGET!L184)</f>
        <v/>
      </c>
      <c r="M184" s="22">
        <f>IF(AND('CASH FLOW'!M184=0,BUDGET!M184=0),"",'CASH FLOW'!M184-BUDGET!M184)</f>
        <v/>
      </c>
      <c r="N184" s="22">
        <f>IF(AND('CASH FLOW'!N184=0,BUDGET!N184=0),"",'CASH FLOW'!N184-BUDGET!N184)</f>
        <v/>
      </c>
      <c r="O184" s="22">
        <f>IF(AND('CASH FLOW'!O184=0,BUDGET!O184=0),"",'CASH FLOW'!O184-BUDGET!O184)</f>
        <v/>
      </c>
      <c r="Q184" s="23">
        <f>IF(BUDGET!O184=0,"",('CASH FLOW'!O184-BUDGET!O184)/ABS(BUDGET!O184))</f>
        <v/>
      </c>
    </row>
    <row r="185">
      <c r="A185" s="13">
        <f>'CASH FLOW'!A185</f>
        <v/>
      </c>
      <c r="B185" s="13">
        <f>'CASH FLOW'!B185</f>
        <v/>
      </c>
      <c r="C185" s="22">
        <f>IF(AND('CASH FLOW'!C185=0,BUDGET!C185=0),"",'CASH FLOW'!C185-BUDGET!C185)</f>
        <v/>
      </c>
      <c r="D185" s="22">
        <f>IF(AND('CASH FLOW'!D185=0,BUDGET!D185=0),"",'CASH FLOW'!D185-BUDGET!D185)</f>
        <v/>
      </c>
      <c r="E185" s="22">
        <f>IF(AND('CASH FLOW'!E185=0,BUDGET!E185=0),"",'CASH FLOW'!E185-BUDGET!E185)</f>
        <v/>
      </c>
      <c r="F185" s="22">
        <f>IF(AND('CASH FLOW'!F185=0,BUDGET!F185=0),"",'CASH FLOW'!F185-BUDGET!F185)</f>
        <v/>
      </c>
      <c r="G185" s="22">
        <f>IF(AND('CASH FLOW'!G185=0,BUDGET!G185=0),"",'CASH FLOW'!G185-BUDGET!G185)</f>
        <v/>
      </c>
      <c r="H185" s="22">
        <f>IF(AND('CASH FLOW'!H185=0,BUDGET!H185=0),"",'CASH FLOW'!H185-BUDGET!H185)</f>
        <v/>
      </c>
      <c r="I185" s="22">
        <f>IF(AND('CASH FLOW'!I185=0,BUDGET!I185=0),"",'CASH FLOW'!I185-BUDGET!I185)</f>
        <v/>
      </c>
      <c r="J185" s="22">
        <f>IF(AND('CASH FLOW'!J185=0,BUDGET!J185=0),"",'CASH FLOW'!J185-BUDGET!J185)</f>
        <v/>
      </c>
      <c r="K185" s="22">
        <f>IF(AND('CASH FLOW'!K185=0,BUDGET!K185=0),"",'CASH FLOW'!K185-BUDGET!K185)</f>
        <v/>
      </c>
      <c r="L185" s="22">
        <f>IF(AND('CASH FLOW'!L185=0,BUDGET!L185=0),"",'CASH FLOW'!L185-BUDGET!L185)</f>
        <v/>
      </c>
      <c r="M185" s="22">
        <f>IF(AND('CASH FLOW'!M185=0,BUDGET!M185=0),"",'CASH FLOW'!M185-BUDGET!M185)</f>
        <v/>
      </c>
      <c r="N185" s="22">
        <f>IF(AND('CASH FLOW'!N185=0,BUDGET!N185=0),"",'CASH FLOW'!N185-BUDGET!N185)</f>
        <v/>
      </c>
      <c r="O185" s="22">
        <f>IF(AND('CASH FLOW'!O185=0,BUDGET!O185=0),"",'CASH FLOW'!O185-BUDGET!O185)</f>
        <v/>
      </c>
      <c r="Q185" s="23">
        <f>IF(BUDGET!O185=0,"",('CASH FLOW'!O185-BUDGET!O185)/ABS(BUDGET!O185))</f>
        <v/>
      </c>
    </row>
    <row r="186">
      <c r="A186" s="13">
        <f>'CASH FLOW'!A186</f>
        <v/>
      </c>
      <c r="B186" s="13">
        <f>'CASH FLOW'!B186</f>
        <v/>
      </c>
      <c r="C186" s="22">
        <f>IF(AND('CASH FLOW'!C186=0,BUDGET!C186=0),"",'CASH FLOW'!C186-BUDGET!C186)</f>
        <v/>
      </c>
      <c r="D186" s="22">
        <f>IF(AND('CASH FLOW'!D186=0,BUDGET!D186=0),"",'CASH FLOW'!D186-BUDGET!D186)</f>
        <v/>
      </c>
      <c r="E186" s="22">
        <f>IF(AND('CASH FLOW'!E186=0,BUDGET!E186=0),"",'CASH FLOW'!E186-BUDGET!E186)</f>
        <v/>
      </c>
      <c r="F186" s="22">
        <f>IF(AND('CASH FLOW'!F186=0,BUDGET!F186=0),"",'CASH FLOW'!F186-BUDGET!F186)</f>
        <v/>
      </c>
      <c r="G186" s="22">
        <f>IF(AND('CASH FLOW'!G186=0,BUDGET!G186=0),"",'CASH FLOW'!G186-BUDGET!G186)</f>
        <v/>
      </c>
      <c r="H186" s="22">
        <f>IF(AND('CASH FLOW'!H186=0,BUDGET!H186=0),"",'CASH FLOW'!H186-BUDGET!H186)</f>
        <v/>
      </c>
      <c r="I186" s="22">
        <f>IF(AND('CASH FLOW'!I186=0,BUDGET!I186=0),"",'CASH FLOW'!I186-BUDGET!I186)</f>
        <v/>
      </c>
      <c r="J186" s="22">
        <f>IF(AND('CASH FLOW'!J186=0,BUDGET!J186=0),"",'CASH FLOW'!J186-BUDGET!J186)</f>
        <v/>
      </c>
      <c r="K186" s="22">
        <f>IF(AND('CASH FLOW'!K186=0,BUDGET!K186=0),"",'CASH FLOW'!K186-BUDGET!K186)</f>
        <v/>
      </c>
      <c r="L186" s="22">
        <f>IF(AND('CASH FLOW'!L186=0,BUDGET!L186=0),"",'CASH FLOW'!L186-BUDGET!L186)</f>
        <v/>
      </c>
      <c r="M186" s="22">
        <f>IF(AND('CASH FLOW'!M186=0,BUDGET!M186=0),"",'CASH FLOW'!M186-BUDGET!M186)</f>
        <v/>
      </c>
      <c r="N186" s="22">
        <f>IF(AND('CASH FLOW'!N186=0,BUDGET!N186=0),"",'CASH FLOW'!N186-BUDGET!N186)</f>
        <v/>
      </c>
      <c r="O186" s="22">
        <f>IF(AND('CASH FLOW'!O186=0,BUDGET!O186=0),"",'CASH FLOW'!O186-BUDGET!O186)</f>
        <v/>
      </c>
      <c r="Q186" s="23">
        <f>IF(BUDGET!O186=0,"",('CASH FLOW'!O186-BUDGET!O186)/ABS(BUDGET!O186))</f>
        <v/>
      </c>
    </row>
    <row r="187">
      <c r="A187" s="13">
        <f>'CASH FLOW'!A187</f>
        <v/>
      </c>
      <c r="B187" s="13">
        <f>'CASH FLOW'!B187</f>
        <v/>
      </c>
      <c r="C187" s="22">
        <f>IF(AND('CASH FLOW'!C187=0,BUDGET!C187=0),"",'CASH FLOW'!C187-BUDGET!C187)</f>
        <v/>
      </c>
      <c r="D187" s="22">
        <f>IF(AND('CASH FLOW'!D187=0,BUDGET!D187=0),"",'CASH FLOW'!D187-BUDGET!D187)</f>
        <v/>
      </c>
      <c r="E187" s="22">
        <f>IF(AND('CASH FLOW'!E187=0,BUDGET!E187=0),"",'CASH FLOW'!E187-BUDGET!E187)</f>
        <v/>
      </c>
      <c r="F187" s="22">
        <f>IF(AND('CASH FLOW'!F187=0,BUDGET!F187=0),"",'CASH FLOW'!F187-BUDGET!F187)</f>
        <v/>
      </c>
      <c r="G187" s="22">
        <f>IF(AND('CASH FLOW'!G187=0,BUDGET!G187=0),"",'CASH FLOW'!G187-BUDGET!G187)</f>
        <v/>
      </c>
      <c r="H187" s="22">
        <f>IF(AND('CASH FLOW'!H187=0,BUDGET!H187=0),"",'CASH FLOW'!H187-BUDGET!H187)</f>
        <v/>
      </c>
      <c r="I187" s="22">
        <f>IF(AND('CASH FLOW'!I187=0,BUDGET!I187=0),"",'CASH FLOW'!I187-BUDGET!I187)</f>
        <v/>
      </c>
      <c r="J187" s="22">
        <f>IF(AND('CASH FLOW'!J187=0,BUDGET!J187=0),"",'CASH FLOW'!J187-BUDGET!J187)</f>
        <v/>
      </c>
      <c r="K187" s="22">
        <f>IF(AND('CASH FLOW'!K187=0,BUDGET!K187=0),"",'CASH FLOW'!K187-BUDGET!K187)</f>
        <v/>
      </c>
      <c r="L187" s="22">
        <f>IF(AND('CASH FLOW'!L187=0,BUDGET!L187=0),"",'CASH FLOW'!L187-BUDGET!L187)</f>
        <v/>
      </c>
      <c r="M187" s="22">
        <f>IF(AND('CASH FLOW'!M187=0,BUDGET!M187=0),"",'CASH FLOW'!M187-BUDGET!M187)</f>
        <v/>
      </c>
      <c r="N187" s="22">
        <f>IF(AND('CASH FLOW'!N187=0,BUDGET!N187=0),"",'CASH FLOW'!N187-BUDGET!N187)</f>
        <v/>
      </c>
      <c r="O187" s="22">
        <f>IF(AND('CASH FLOW'!O187=0,BUDGET!O187=0),"",'CASH FLOW'!O187-BUDGET!O187)</f>
        <v/>
      </c>
      <c r="Q187" s="23">
        <f>IF(BUDGET!O187=0,"",('CASH FLOW'!O187-BUDGET!O187)/ABS(BUDGET!O187))</f>
        <v/>
      </c>
    </row>
    <row r="188">
      <c r="A188" s="13">
        <f>'CASH FLOW'!A188</f>
        <v/>
      </c>
      <c r="B188" s="13">
        <f>'CASH FLOW'!B188</f>
        <v/>
      </c>
      <c r="C188" s="22">
        <f>IF(AND('CASH FLOW'!C188=0,BUDGET!C188=0),"",'CASH FLOW'!C188-BUDGET!C188)</f>
        <v/>
      </c>
      <c r="D188" s="22">
        <f>IF(AND('CASH FLOW'!D188=0,BUDGET!D188=0),"",'CASH FLOW'!D188-BUDGET!D188)</f>
        <v/>
      </c>
      <c r="E188" s="22">
        <f>IF(AND('CASH FLOW'!E188=0,BUDGET!E188=0),"",'CASH FLOW'!E188-BUDGET!E188)</f>
        <v/>
      </c>
      <c r="F188" s="22">
        <f>IF(AND('CASH FLOW'!F188=0,BUDGET!F188=0),"",'CASH FLOW'!F188-BUDGET!F188)</f>
        <v/>
      </c>
      <c r="G188" s="22">
        <f>IF(AND('CASH FLOW'!G188=0,BUDGET!G188=0),"",'CASH FLOW'!G188-BUDGET!G188)</f>
        <v/>
      </c>
      <c r="H188" s="22">
        <f>IF(AND('CASH FLOW'!H188=0,BUDGET!H188=0),"",'CASH FLOW'!H188-BUDGET!H188)</f>
        <v/>
      </c>
      <c r="I188" s="22">
        <f>IF(AND('CASH FLOW'!I188=0,BUDGET!I188=0),"",'CASH FLOW'!I188-BUDGET!I188)</f>
        <v/>
      </c>
      <c r="J188" s="22">
        <f>IF(AND('CASH FLOW'!J188=0,BUDGET!J188=0),"",'CASH FLOW'!J188-BUDGET!J188)</f>
        <v/>
      </c>
      <c r="K188" s="22">
        <f>IF(AND('CASH FLOW'!K188=0,BUDGET!K188=0),"",'CASH FLOW'!K188-BUDGET!K188)</f>
        <v/>
      </c>
      <c r="L188" s="22">
        <f>IF(AND('CASH FLOW'!L188=0,BUDGET!L188=0),"",'CASH FLOW'!L188-BUDGET!L188)</f>
        <v/>
      </c>
      <c r="M188" s="22">
        <f>IF(AND('CASH FLOW'!M188=0,BUDGET!M188=0),"",'CASH FLOW'!M188-BUDGET!M188)</f>
        <v/>
      </c>
      <c r="N188" s="22">
        <f>IF(AND('CASH FLOW'!N188=0,BUDGET!N188=0),"",'CASH FLOW'!N188-BUDGET!N188)</f>
        <v/>
      </c>
      <c r="O188" s="22">
        <f>IF(AND('CASH FLOW'!O188=0,BUDGET!O188=0),"",'CASH FLOW'!O188-BUDGET!O188)</f>
        <v/>
      </c>
      <c r="Q188" s="23">
        <f>IF(BUDGET!O188=0,"",('CASH FLOW'!O188-BUDGET!O188)/ABS(BUDGET!O188))</f>
        <v/>
      </c>
    </row>
    <row r="189">
      <c r="A189" s="13">
        <f>'CASH FLOW'!A189</f>
        <v/>
      </c>
      <c r="B189" s="13">
        <f>'CASH FLOW'!B189</f>
        <v/>
      </c>
      <c r="C189" s="22">
        <f>IF(AND('CASH FLOW'!C189=0,BUDGET!C189=0),"",'CASH FLOW'!C189-BUDGET!C189)</f>
        <v/>
      </c>
      <c r="D189" s="22">
        <f>IF(AND('CASH FLOW'!D189=0,BUDGET!D189=0),"",'CASH FLOW'!D189-BUDGET!D189)</f>
        <v/>
      </c>
      <c r="E189" s="22">
        <f>IF(AND('CASH FLOW'!E189=0,BUDGET!E189=0),"",'CASH FLOW'!E189-BUDGET!E189)</f>
        <v/>
      </c>
      <c r="F189" s="22">
        <f>IF(AND('CASH FLOW'!F189=0,BUDGET!F189=0),"",'CASH FLOW'!F189-BUDGET!F189)</f>
        <v/>
      </c>
      <c r="G189" s="22">
        <f>IF(AND('CASH FLOW'!G189=0,BUDGET!G189=0),"",'CASH FLOW'!G189-BUDGET!G189)</f>
        <v/>
      </c>
      <c r="H189" s="22">
        <f>IF(AND('CASH FLOW'!H189=0,BUDGET!H189=0),"",'CASH FLOW'!H189-BUDGET!H189)</f>
        <v/>
      </c>
      <c r="I189" s="22">
        <f>IF(AND('CASH FLOW'!I189=0,BUDGET!I189=0),"",'CASH FLOW'!I189-BUDGET!I189)</f>
        <v/>
      </c>
      <c r="J189" s="22">
        <f>IF(AND('CASH FLOW'!J189=0,BUDGET!J189=0),"",'CASH FLOW'!J189-BUDGET!J189)</f>
        <v/>
      </c>
      <c r="K189" s="22">
        <f>IF(AND('CASH FLOW'!K189=0,BUDGET!K189=0),"",'CASH FLOW'!K189-BUDGET!K189)</f>
        <v/>
      </c>
      <c r="L189" s="22">
        <f>IF(AND('CASH FLOW'!L189=0,BUDGET!L189=0),"",'CASH FLOW'!L189-BUDGET!L189)</f>
        <v/>
      </c>
      <c r="M189" s="22">
        <f>IF(AND('CASH FLOW'!M189=0,BUDGET!M189=0),"",'CASH FLOW'!M189-BUDGET!M189)</f>
        <v/>
      </c>
      <c r="N189" s="22">
        <f>IF(AND('CASH FLOW'!N189=0,BUDGET!N189=0),"",'CASH FLOW'!N189-BUDGET!N189)</f>
        <v/>
      </c>
      <c r="O189" s="22">
        <f>IF(AND('CASH FLOW'!O189=0,BUDGET!O189=0),"",'CASH FLOW'!O189-BUDGET!O189)</f>
        <v/>
      </c>
      <c r="Q189" s="23">
        <f>IF(BUDGET!O189=0,"",('CASH FLOW'!O189-BUDGET!O189)/ABS(BUDGET!O189))</f>
        <v/>
      </c>
    </row>
    <row r="190">
      <c r="A190" s="13">
        <f>'CASH FLOW'!A190</f>
        <v/>
      </c>
      <c r="B190" s="13">
        <f>'CASH FLOW'!B190</f>
        <v/>
      </c>
      <c r="C190" s="22">
        <f>IF(AND('CASH FLOW'!C190=0,BUDGET!C190=0),"",'CASH FLOW'!C190-BUDGET!C190)</f>
        <v/>
      </c>
      <c r="D190" s="22">
        <f>IF(AND('CASH FLOW'!D190=0,BUDGET!D190=0),"",'CASH FLOW'!D190-BUDGET!D190)</f>
        <v/>
      </c>
      <c r="E190" s="22">
        <f>IF(AND('CASH FLOW'!E190=0,BUDGET!E190=0),"",'CASH FLOW'!E190-BUDGET!E190)</f>
        <v/>
      </c>
      <c r="F190" s="22">
        <f>IF(AND('CASH FLOW'!F190=0,BUDGET!F190=0),"",'CASH FLOW'!F190-BUDGET!F190)</f>
        <v/>
      </c>
      <c r="G190" s="22">
        <f>IF(AND('CASH FLOW'!G190=0,BUDGET!G190=0),"",'CASH FLOW'!G190-BUDGET!G190)</f>
        <v/>
      </c>
      <c r="H190" s="22">
        <f>IF(AND('CASH FLOW'!H190=0,BUDGET!H190=0),"",'CASH FLOW'!H190-BUDGET!H190)</f>
        <v/>
      </c>
      <c r="I190" s="22">
        <f>IF(AND('CASH FLOW'!I190=0,BUDGET!I190=0),"",'CASH FLOW'!I190-BUDGET!I190)</f>
        <v/>
      </c>
      <c r="J190" s="22">
        <f>IF(AND('CASH FLOW'!J190=0,BUDGET!J190=0),"",'CASH FLOW'!J190-BUDGET!J190)</f>
        <v/>
      </c>
      <c r="K190" s="22">
        <f>IF(AND('CASH FLOW'!K190=0,BUDGET!K190=0),"",'CASH FLOW'!K190-BUDGET!K190)</f>
        <v/>
      </c>
      <c r="L190" s="22">
        <f>IF(AND('CASH FLOW'!L190=0,BUDGET!L190=0),"",'CASH FLOW'!L190-BUDGET!L190)</f>
        <v/>
      </c>
      <c r="M190" s="22">
        <f>IF(AND('CASH FLOW'!M190=0,BUDGET!M190=0),"",'CASH FLOW'!M190-BUDGET!M190)</f>
        <v/>
      </c>
      <c r="N190" s="22">
        <f>IF(AND('CASH FLOW'!N190=0,BUDGET!N190=0),"",'CASH FLOW'!N190-BUDGET!N190)</f>
        <v/>
      </c>
      <c r="O190" s="22">
        <f>IF(AND('CASH FLOW'!O190=0,BUDGET!O190=0),"",'CASH FLOW'!O190-BUDGET!O190)</f>
        <v/>
      </c>
      <c r="Q190" s="23">
        <f>IF(BUDGET!O190=0,"",('CASH FLOW'!O190-BUDGET!O190)/ABS(BUDGET!O190))</f>
        <v/>
      </c>
    </row>
    <row r="191">
      <c r="A191" s="13">
        <f>'CASH FLOW'!A191</f>
        <v/>
      </c>
      <c r="B191" s="13">
        <f>'CASH FLOW'!B191</f>
        <v/>
      </c>
      <c r="C191" s="22">
        <f>IF(AND('CASH FLOW'!C191=0,BUDGET!C191=0),"",'CASH FLOW'!C191-BUDGET!C191)</f>
        <v/>
      </c>
      <c r="D191" s="22">
        <f>IF(AND('CASH FLOW'!D191=0,BUDGET!D191=0),"",'CASH FLOW'!D191-BUDGET!D191)</f>
        <v/>
      </c>
      <c r="E191" s="22">
        <f>IF(AND('CASH FLOW'!E191=0,BUDGET!E191=0),"",'CASH FLOW'!E191-BUDGET!E191)</f>
        <v/>
      </c>
      <c r="F191" s="22">
        <f>IF(AND('CASH FLOW'!F191=0,BUDGET!F191=0),"",'CASH FLOW'!F191-BUDGET!F191)</f>
        <v/>
      </c>
      <c r="G191" s="22">
        <f>IF(AND('CASH FLOW'!G191=0,BUDGET!G191=0),"",'CASH FLOW'!G191-BUDGET!G191)</f>
        <v/>
      </c>
      <c r="H191" s="22">
        <f>IF(AND('CASH FLOW'!H191=0,BUDGET!H191=0),"",'CASH FLOW'!H191-BUDGET!H191)</f>
        <v/>
      </c>
      <c r="I191" s="22">
        <f>IF(AND('CASH FLOW'!I191=0,BUDGET!I191=0),"",'CASH FLOW'!I191-BUDGET!I191)</f>
        <v/>
      </c>
      <c r="J191" s="22">
        <f>IF(AND('CASH FLOW'!J191=0,BUDGET!J191=0),"",'CASH FLOW'!J191-BUDGET!J191)</f>
        <v/>
      </c>
      <c r="K191" s="22">
        <f>IF(AND('CASH FLOW'!K191=0,BUDGET!K191=0),"",'CASH FLOW'!K191-BUDGET!K191)</f>
        <v/>
      </c>
      <c r="L191" s="22">
        <f>IF(AND('CASH FLOW'!L191=0,BUDGET!L191=0),"",'CASH FLOW'!L191-BUDGET!L191)</f>
        <v/>
      </c>
      <c r="M191" s="22">
        <f>IF(AND('CASH FLOW'!M191=0,BUDGET!M191=0),"",'CASH FLOW'!M191-BUDGET!M191)</f>
        <v/>
      </c>
      <c r="N191" s="22">
        <f>IF(AND('CASH FLOW'!N191=0,BUDGET!N191=0),"",'CASH FLOW'!N191-BUDGET!N191)</f>
        <v/>
      </c>
      <c r="O191" s="22">
        <f>IF(AND('CASH FLOW'!O191=0,BUDGET!O191=0),"",'CASH FLOW'!O191-BUDGET!O191)</f>
        <v/>
      </c>
      <c r="Q191" s="23">
        <f>IF(BUDGET!O191=0,"",('CASH FLOW'!O191-BUDGET!O191)/ABS(BUDGET!O191))</f>
        <v/>
      </c>
    </row>
    <row r="192">
      <c r="A192" s="13">
        <f>'CASH FLOW'!A192</f>
        <v/>
      </c>
      <c r="B192" s="13">
        <f>'CASH FLOW'!B192</f>
        <v/>
      </c>
      <c r="C192" s="22">
        <f>IF(AND('CASH FLOW'!C192=0,BUDGET!C192=0),"",'CASH FLOW'!C192-BUDGET!C192)</f>
        <v/>
      </c>
      <c r="D192" s="22">
        <f>IF(AND('CASH FLOW'!D192=0,BUDGET!D192=0),"",'CASH FLOW'!D192-BUDGET!D192)</f>
        <v/>
      </c>
      <c r="E192" s="22">
        <f>IF(AND('CASH FLOW'!E192=0,BUDGET!E192=0),"",'CASH FLOW'!E192-BUDGET!E192)</f>
        <v/>
      </c>
      <c r="F192" s="22">
        <f>IF(AND('CASH FLOW'!F192=0,BUDGET!F192=0),"",'CASH FLOW'!F192-BUDGET!F192)</f>
        <v/>
      </c>
      <c r="G192" s="22">
        <f>IF(AND('CASH FLOW'!G192=0,BUDGET!G192=0),"",'CASH FLOW'!G192-BUDGET!G192)</f>
        <v/>
      </c>
      <c r="H192" s="22">
        <f>IF(AND('CASH FLOW'!H192=0,BUDGET!H192=0),"",'CASH FLOW'!H192-BUDGET!H192)</f>
        <v/>
      </c>
      <c r="I192" s="22">
        <f>IF(AND('CASH FLOW'!I192=0,BUDGET!I192=0),"",'CASH FLOW'!I192-BUDGET!I192)</f>
        <v/>
      </c>
      <c r="J192" s="22">
        <f>IF(AND('CASH FLOW'!J192=0,BUDGET!J192=0),"",'CASH FLOW'!J192-BUDGET!J192)</f>
        <v/>
      </c>
      <c r="K192" s="22">
        <f>IF(AND('CASH FLOW'!K192=0,BUDGET!K192=0),"",'CASH FLOW'!K192-BUDGET!K192)</f>
        <v/>
      </c>
      <c r="L192" s="22">
        <f>IF(AND('CASH FLOW'!L192=0,BUDGET!L192=0),"",'CASH FLOW'!L192-BUDGET!L192)</f>
        <v/>
      </c>
      <c r="M192" s="22">
        <f>IF(AND('CASH FLOW'!M192=0,BUDGET!M192=0),"",'CASH FLOW'!M192-BUDGET!M192)</f>
        <v/>
      </c>
      <c r="N192" s="22">
        <f>IF(AND('CASH FLOW'!N192=0,BUDGET!N192=0),"",'CASH FLOW'!N192-BUDGET!N192)</f>
        <v/>
      </c>
      <c r="O192" s="22">
        <f>IF(AND('CASH FLOW'!O192=0,BUDGET!O192=0),"",'CASH FLOW'!O192-BUDGET!O192)</f>
        <v/>
      </c>
      <c r="Q192" s="23">
        <f>IF(BUDGET!O192=0,"",('CASH FLOW'!O192-BUDGET!O192)/ABS(BUDGET!O192))</f>
        <v/>
      </c>
    </row>
    <row r="193">
      <c r="A193" s="13">
        <f>'CASH FLOW'!A193</f>
        <v/>
      </c>
      <c r="B193" s="13">
        <f>'CASH FLOW'!B193</f>
        <v/>
      </c>
      <c r="C193" s="22">
        <f>IF(AND('CASH FLOW'!C193=0,BUDGET!C193=0),"",'CASH FLOW'!C193-BUDGET!C193)</f>
        <v/>
      </c>
      <c r="D193" s="22">
        <f>IF(AND('CASH FLOW'!D193=0,BUDGET!D193=0),"",'CASH FLOW'!D193-BUDGET!D193)</f>
        <v/>
      </c>
      <c r="E193" s="22">
        <f>IF(AND('CASH FLOW'!E193=0,BUDGET!E193=0),"",'CASH FLOW'!E193-BUDGET!E193)</f>
        <v/>
      </c>
      <c r="F193" s="22">
        <f>IF(AND('CASH FLOW'!F193=0,BUDGET!F193=0),"",'CASH FLOW'!F193-BUDGET!F193)</f>
        <v/>
      </c>
      <c r="G193" s="22">
        <f>IF(AND('CASH FLOW'!G193=0,BUDGET!G193=0),"",'CASH FLOW'!G193-BUDGET!G193)</f>
        <v/>
      </c>
      <c r="H193" s="22">
        <f>IF(AND('CASH FLOW'!H193=0,BUDGET!H193=0),"",'CASH FLOW'!H193-BUDGET!H193)</f>
        <v/>
      </c>
      <c r="I193" s="22">
        <f>IF(AND('CASH FLOW'!I193=0,BUDGET!I193=0),"",'CASH FLOW'!I193-BUDGET!I193)</f>
        <v/>
      </c>
      <c r="J193" s="22">
        <f>IF(AND('CASH FLOW'!J193=0,BUDGET!J193=0),"",'CASH FLOW'!J193-BUDGET!J193)</f>
        <v/>
      </c>
      <c r="K193" s="22">
        <f>IF(AND('CASH FLOW'!K193=0,BUDGET!K193=0),"",'CASH FLOW'!K193-BUDGET!K193)</f>
        <v/>
      </c>
      <c r="L193" s="22">
        <f>IF(AND('CASH FLOW'!L193=0,BUDGET!L193=0),"",'CASH FLOW'!L193-BUDGET!L193)</f>
        <v/>
      </c>
      <c r="M193" s="22">
        <f>IF(AND('CASH FLOW'!M193=0,BUDGET!M193=0),"",'CASH FLOW'!M193-BUDGET!M193)</f>
        <v/>
      </c>
      <c r="N193" s="22">
        <f>IF(AND('CASH FLOW'!N193=0,BUDGET!N193=0),"",'CASH FLOW'!N193-BUDGET!N193)</f>
        <v/>
      </c>
      <c r="O193" s="22">
        <f>IF(AND('CASH FLOW'!O193=0,BUDGET!O193=0),"",'CASH FLOW'!O193-BUDGET!O193)</f>
        <v/>
      </c>
      <c r="Q193" s="23">
        <f>IF(BUDGET!O193=0,"",('CASH FLOW'!O193-BUDGET!O193)/ABS(BUDGET!O193))</f>
        <v/>
      </c>
    </row>
    <row r="194">
      <c r="A194" s="13">
        <f>'CASH FLOW'!A194</f>
        <v/>
      </c>
      <c r="B194" s="13">
        <f>'CASH FLOW'!B194</f>
        <v/>
      </c>
      <c r="C194" s="22">
        <f>IF(AND('CASH FLOW'!C194=0,BUDGET!C194=0),"",'CASH FLOW'!C194-BUDGET!C194)</f>
        <v/>
      </c>
      <c r="D194" s="22">
        <f>IF(AND('CASH FLOW'!D194=0,BUDGET!D194=0),"",'CASH FLOW'!D194-BUDGET!D194)</f>
        <v/>
      </c>
      <c r="E194" s="22">
        <f>IF(AND('CASH FLOW'!E194=0,BUDGET!E194=0),"",'CASH FLOW'!E194-BUDGET!E194)</f>
        <v/>
      </c>
      <c r="F194" s="22">
        <f>IF(AND('CASH FLOW'!F194=0,BUDGET!F194=0),"",'CASH FLOW'!F194-BUDGET!F194)</f>
        <v/>
      </c>
      <c r="G194" s="22">
        <f>IF(AND('CASH FLOW'!G194=0,BUDGET!G194=0),"",'CASH FLOW'!G194-BUDGET!G194)</f>
        <v/>
      </c>
      <c r="H194" s="22">
        <f>IF(AND('CASH FLOW'!H194=0,BUDGET!H194=0),"",'CASH FLOW'!H194-BUDGET!H194)</f>
        <v/>
      </c>
      <c r="I194" s="22">
        <f>IF(AND('CASH FLOW'!I194=0,BUDGET!I194=0),"",'CASH FLOW'!I194-BUDGET!I194)</f>
        <v/>
      </c>
      <c r="J194" s="22">
        <f>IF(AND('CASH FLOW'!J194=0,BUDGET!J194=0),"",'CASH FLOW'!J194-BUDGET!J194)</f>
        <v/>
      </c>
      <c r="K194" s="22">
        <f>IF(AND('CASH FLOW'!K194=0,BUDGET!K194=0),"",'CASH FLOW'!K194-BUDGET!K194)</f>
        <v/>
      </c>
      <c r="L194" s="22">
        <f>IF(AND('CASH FLOW'!L194=0,BUDGET!L194=0),"",'CASH FLOW'!L194-BUDGET!L194)</f>
        <v/>
      </c>
      <c r="M194" s="22">
        <f>IF(AND('CASH FLOW'!M194=0,BUDGET!M194=0),"",'CASH FLOW'!M194-BUDGET!M194)</f>
        <v/>
      </c>
      <c r="N194" s="22">
        <f>IF(AND('CASH FLOW'!N194=0,BUDGET!N194=0),"",'CASH FLOW'!N194-BUDGET!N194)</f>
        <v/>
      </c>
      <c r="O194" s="22">
        <f>IF(AND('CASH FLOW'!O194=0,BUDGET!O194=0),"",'CASH FLOW'!O194-BUDGET!O194)</f>
        <v/>
      </c>
      <c r="Q194" s="23">
        <f>IF(BUDGET!O194=0,"",('CASH FLOW'!O194-BUDGET!O194)/ABS(BUDGET!O194))</f>
        <v/>
      </c>
    </row>
    <row r="195">
      <c r="A195" s="13">
        <f>'CASH FLOW'!A195</f>
        <v/>
      </c>
      <c r="B195" s="13">
        <f>'CASH FLOW'!B195</f>
        <v/>
      </c>
      <c r="C195" s="22">
        <f>IF(AND('CASH FLOW'!C195=0,BUDGET!C195=0),"",'CASH FLOW'!C195-BUDGET!C195)</f>
        <v/>
      </c>
      <c r="D195" s="22">
        <f>IF(AND('CASH FLOW'!D195=0,BUDGET!D195=0),"",'CASH FLOW'!D195-BUDGET!D195)</f>
        <v/>
      </c>
      <c r="E195" s="22">
        <f>IF(AND('CASH FLOW'!E195=0,BUDGET!E195=0),"",'CASH FLOW'!E195-BUDGET!E195)</f>
        <v/>
      </c>
      <c r="F195" s="22">
        <f>IF(AND('CASH FLOW'!F195=0,BUDGET!F195=0),"",'CASH FLOW'!F195-BUDGET!F195)</f>
        <v/>
      </c>
      <c r="G195" s="22">
        <f>IF(AND('CASH FLOW'!G195=0,BUDGET!G195=0),"",'CASH FLOW'!G195-BUDGET!G195)</f>
        <v/>
      </c>
      <c r="H195" s="22">
        <f>IF(AND('CASH FLOW'!H195=0,BUDGET!H195=0),"",'CASH FLOW'!H195-BUDGET!H195)</f>
        <v/>
      </c>
      <c r="I195" s="22">
        <f>IF(AND('CASH FLOW'!I195=0,BUDGET!I195=0),"",'CASH FLOW'!I195-BUDGET!I195)</f>
        <v/>
      </c>
      <c r="J195" s="22">
        <f>IF(AND('CASH FLOW'!J195=0,BUDGET!J195=0),"",'CASH FLOW'!J195-BUDGET!J195)</f>
        <v/>
      </c>
      <c r="K195" s="22">
        <f>IF(AND('CASH FLOW'!K195=0,BUDGET!K195=0),"",'CASH FLOW'!K195-BUDGET!K195)</f>
        <v/>
      </c>
      <c r="L195" s="22">
        <f>IF(AND('CASH FLOW'!L195=0,BUDGET!L195=0),"",'CASH FLOW'!L195-BUDGET!L195)</f>
        <v/>
      </c>
      <c r="M195" s="22">
        <f>IF(AND('CASH FLOW'!M195=0,BUDGET!M195=0),"",'CASH FLOW'!M195-BUDGET!M195)</f>
        <v/>
      </c>
      <c r="N195" s="22">
        <f>IF(AND('CASH FLOW'!N195=0,BUDGET!N195=0),"",'CASH FLOW'!N195-BUDGET!N195)</f>
        <v/>
      </c>
      <c r="O195" s="22">
        <f>IF(AND('CASH FLOW'!O195=0,BUDGET!O195=0),"",'CASH FLOW'!O195-BUDGET!O195)</f>
        <v/>
      </c>
      <c r="Q195" s="23">
        <f>IF(BUDGET!O195=0,"",('CASH FLOW'!O195-BUDGET!O195)/ABS(BUDGET!O195))</f>
        <v/>
      </c>
    </row>
    <row r="196">
      <c r="A196" s="13">
        <f>'CASH FLOW'!A196</f>
        <v/>
      </c>
      <c r="B196" s="13">
        <f>'CASH FLOW'!B196</f>
        <v/>
      </c>
      <c r="C196" s="22">
        <f>IF(AND('CASH FLOW'!C196=0,BUDGET!C196=0),"",'CASH FLOW'!C196-BUDGET!C196)</f>
        <v/>
      </c>
      <c r="D196" s="22">
        <f>IF(AND('CASH FLOW'!D196=0,BUDGET!D196=0),"",'CASH FLOW'!D196-BUDGET!D196)</f>
        <v/>
      </c>
      <c r="E196" s="22">
        <f>IF(AND('CASH FLOW'!E196=0,BUDGET!E196=0),"",'CASH FLOW'!E196-BUDGET!E196)</f>
        <v/>
      </c>
      <c r="F196" s="22">
        <f>IF(AND('CASH FLOW'!F196=0,BUDGET!F196=0),"",'CASH FLOW'!F196-BUDGET!F196)</f>
        <v/>
      </c>
      <c r="G196" s="22">
        <f>IF(AND('CASH FLOW'!G196=0,BUDGET!G196=0),"",'CASH FLOW'!G196-BUDGET!G196)</f>
        <v/>
      </c>
      <c r="H196" s="22">
        <f>IF(AND('CASH FLOW'!H196=0,BUDGET!H196=0),"",'CASH FLOW'!H196-BUDGET!H196)</f>
        <v/>
      </c>
      <c r="I196" s="22">
        <f>IF(AND('CASH FLOW'!I196=0,BUDGET!I196=0),"",'CASH FLOW'!I196-BUDGET!I196)</f>
        <v/>
      </c>
      <c r="J196" s="22">
        <f>IF(AND('CASH FLOW'!J196=0,BUDGET!J196=0),"",'CASH FLOW'!J196-BUDGET!J196)</f>
        <v/>
      </c>
      <c r="K196" s="22">
        <f>IF(AND('CASH FLOW'!K196=0,BUDGET!K196=0),"",'CASH FLOW'!K196-BUDGET!K196)</f>
        <v/>
      </c>
      <c r="L196" s="22">
        <f>IF(AND('CASH FLOW'!L196=0,BUDGET!L196=0),"",'CASH FLOW'!L196-BUDGET!L196)</f>
        <v/>
      </c>
      <c r="M196" s="22">
        <f>IF(AND('CASH FLOW'!M196=0,BUDGET!M196=0),"",'CASH FLOW'!M196-BUDGET!M196)</f>
        <v/>
      </c>
      <c r="N196" s="22">
        <f>IF(AND('CASH FLOW'!N196=0,BUDGET!N196=0),"",'CASH FLOW'!N196-BUDGET!N196)</f>
        <v/>
      </c>
      <c r="O196" s="22">
        <f>IF(AND('CASH FLOW'!O196=0,BUDGET!O196=0),"",'CASH FLOW'!O196-BUDGET!O196)</f>
        <v/>
      </c>
      <c r="Q196" s="23">
        <f>IF(BUDGET!O196=0,"",('CASH FLOW'!O196-BUDGET!O196)/ABS(BUDGET!O196))</f>
        <v/>
      </c>
    </row>
    <row r="197">
      <c r="A197" s="13">
        <f>'CASH FLOW'!A197</f>
        <v/>
      </c>
      <c r="B197" s="13">
        <f>'CASH FLOW'!B197</f>
        <v/>
      </c>
      <c r="C197" s="22">
        <f>IF(AND('CASH FLOW'!C197=0,BUDGET!C197=0),"",'CASH FLOW'!C197-BUDGET!C197)</f>
        <v/>
      </c>
      <c r="D197" s="22">
        <f>IF(AND('CASH FLOW'!D197=0,BUDGET!D197=0),"",'CASH FLOW'!D197-BUDGET!D197)</f>
        <v/>
      </c>
      <c r="E197" s="22">
        <f>IF(AND('CASH FLOW'!E197=0,BUDGET!E197=0),"",'CASH FLOW'!E197-BUDGET!E197)</f>
        <v/>
      </c>
      <c r="F197" s="22">
        <f>IF(AND('CASH FLOW'!F197=0,BUDGET!F197=0),"",'CASH FLOW'!F197-BUDGET!F197)</f>
        <v/>
      </c>
      <c r="G197" s="22">
        <f>IF(AND('CASH FLOW'!G197=0,BUDGET!G197=0),"",'CASH FLOW'!G197-BUDGET!G197)</f>
        <v/>
      </c>
      <c r="H197" s="22">
        <f>IF(AND('CASH FLOW'!H197=0,BUDGET!H197=0),"",'CASH FLOW'!H197-BUDGET!H197)</f>
        <v/>
      </c>
      <c r="I197" s="22">
        <f>IF(AND('CASH FLOW'!I197=0,BUDGET!I197=0),"",'CASH FLOW'!I197-BUDGET!I197)</f>
        <v/>
      </c>
      <c r="J197" s="22">
        <f>IF(AND('CASH FLOW'!J197=0,BUDGET!J197=0),"",'CASH FLOW'!J197-BUDGET!J197)</f>
        <v/>
      </c>
      <c r="K197" s="22">
        <f>IF(AND('CASH FLOW'!K197=0,BUDGET!K197=0),"",'CASH FLOW'!K197-BUDGET!K197)</f>
        <v/>
      </c>
      <c r="L197" s="22">
        <f>IF(AND('CASH FLOW'!L197=0,BUDGET!L197=0),"",'CASH FLOW'!L197-BUDGET!L197)</f>
        <v/>
      </c>
      <c r="M197" s="22">
        <f>IF(AND('CASH FLOW'!M197=0,BUDGET!M197=0),"",'CASH FLOW'!M197-BUDGET!M197)</f>
        <v/>
      </c>
      <c r="N197" s="22">
        <f>IF(AND('CASH FLOW'!N197=0,BUDGET!N197=0),"",'CASH FLOW'!N197-BUDGET!N197)</f>
        <v/>
      </c>
      <c r="O197" s="22">
        <f>IF(AND('CASH FLOW'!O197=0,BUDGET!O197=0),"",'CASH FLOW'!O197-BUDGET!O197)</f>
        <v/>
      </c>
      <c r="Q197" s="23">
        <f>IF(BUDGET!O197=0,"",('CASH FLOW'!O197-BUDGET!O197)/ABS(BUDGET!O197))</f>
        <v/>
      </c>
    </row>
    <row r="198">
      <c r="A198" s="13">
        <f>'CASH FLOW'!A198</f>
        <v/>
      </c>
      <c r="B198" s="13">
        <f>'CASH FLOW'!B198</f>
        <v/>
      </c>
      <c r="C198" s="22">
        <f>IF(AND('CASH FLOW'!C198=0,BUDGET!C198=0),"",'CASH FLOW'!C198-BUDGET!C198)</f>
        <v/>
      </c>
      <c r="D198" s="22">
        <f>IF(AND('CASH FLOW'!D198=0,BUDGET!D198=0),"",'CASH FLOW'!D198-BUDGET!D198)</f>
        <v/>
      </c>
      <c r="E198" s="22">
        <f>IF(AND('CASH FLOW'!E198=0,BUDGET!E198=0),"",'CASH FLOW'!E198-BUDGET!E198)</f>
        <v/>
      </c>
      <c r="F198" s="22">
        <f>IF(AND('CASH FLOW'!F198=0,BUDGET!F198=0),"",'CASH FLOW'!F198-BUDGET!F198)</f>
        <v/>
      </c>
      <c r="G198" s="22">
        <f>IF(AND('CASH FLOW'!G198=0,BUDGET!G198=0),"",'CASH FLOW'!G198-BUDGET!G198)</f>
        <v/>
      </c>
      <c r="H198" s="22">
        <f>IF(AND('CASH FLOW'!H198=0,BUDGET!H198=0),"",'CASH FLOW'!H198-BUDGET!H198)</f>
        <v/>
      </c>
      <c r="I198" s="22">
        <f>IF(AND('CASH FLOW'!I198=0,BUDGET!I198=0),"",'CASH FLOW'!I198-BUDGET!I198)</f>
        <v/>
      </c>
      <c r="J198" s="22">
        <f>IF(AND('CASH FLOW'!J198=0,BUDGET!J198=0),"",'CASH FLOW'!J198-BUDGET!J198)</f>
        <v/>
      </c>
      <c r="K198" s="22">
        <f>IF(AND('CASH FLOW'!K198=0,BUDGET!K198=0),"",'CASH FLOW'!K198-BUDGET!K198)</f>
        <v/>
      </c>
      <c r="L198" s="22">
        <f>IF(AND('CASH FLOW'!L198=0,BUDGET!L198=0),"",'CASH FLOW'!L198-BUDGET!L198)</f>
        <v/>
      </c>
      <c r="M198" s="22">
        <f>IF(AND('CASH FLOW'!M198=0,BUDGET!M198=0),"",'CASH FLOW'!M198-BUDGET!M198)</f>
        <v/>
      </c>
      <c r="N198" s="22">
        <f>IF(AND('CASH FLOW'!N198=0,BUDGET!N198=0),"",'CASH FLOW'!N198-BUDGET!N198)</f>
        <v/>
      </c>
      <c r="O198" s="22">
        <f>IF(AND('CASH FLOW'!O198=0,BUDGET!O198=0),"",'CASH FLOW'!O198-BUDGET!O198)</f>
        <v/>
      </c>
      <c r="Q198" s="23">
        <f>IF(BUDGET!O198=0,"",('CASH FLOW'!O198-BUDGET!O198)/ABS(BUDGET!O198))</f>
        <v/>
      </c>
    </row>
    <row r="199">
      <c r="A199" s="13">
        <f>'CASH FLOW'!A199</f>
        <v/>
      </c>
      <c r="B199" s="13">
        <f>'CASH FLOW'!B199</f>
        <v/>
      </c>
      <c r="C199" s="22">
        <f>IF(AND('CASH FLOW'!C199=0,BUDGET!C199=0),"",'CASH FLOW'!C199-BUDGET!C199)</f>
        <v/>
      </c>
      <c r="D199" s="22">
        <f>IF(AND('CASH FLOW'!D199=0,BUDGET!D199=0),"",'CASH FLOW'!D199-BUDGET!D199)</f>
        <v/>
      </c>
      <c r="E199" s="22">
        <f>IF(AND('CASH FLOW'!E199=0,BUDGET!E199=0),"",'CASH FLOW'!E199-BUDGET!E199)</f>
        <v/>
      </c>
      <c r="F199" s="22">
        <f>IF(AND('CASH FLOW'!F199=0,BUDGET!F199=0),"",'CASH FLOW'!F199-BUDGET!F199)</f>
        <v/>
      </c>
      <c r="G199" s="22">
        <f>IF(AND('CASH FLOW'!G199=0,BUDGET!G199=0),"",'CASH FLOW'!G199-BUDGET!G199)</f>
        <v/>
      </c>
      <c r="H199" s="22">
        <f>IF(AND('CASH FLOW'!H199=0,BUDGET!H199=0),"",'CASH FLOW'!H199-BUDGET!H199)</f>
        <v/>
      </c>
      <c r="I199" s="22">
        <f>IF(AND('CASH FLOW'!I199=0,BUDGET!I199=0),"",'CASH FLOW'!I199-BUDGET!I199)</f>
        <v/>
      </c>
      <c r="J199" s="22">
        <f>IF(AND('CASH FLOW'!J199=0,BUDGET!J199=0),"",'CASH FLOW'!J199-BUDGET!J199)</f>
        <v/>
      </c>
      <c r="K199" s="22">
        <f>IF(AND('CASH FLOW'!K199=0,BUDGET!K199=0),"",'CASH FLOW'!K199-BUDGET!K199)</f>
        <v/>
      </c>
      <c r="L199" s="22">
        <f>IF(AND('CASH FLOW'!L199=0,BUDGET!L199=0),"",'CASH FLOW'!L199-BUDGET!L199)</f>
        <v/>
      </c>
      <c r="M199" s="22">
        <f>IF(AND('CASH FLOW'!M199=0,BUDGET!M199=0),"",'CASH FLOW'!M199-BUDGET!M199)</f>
        <v/>
      </c>
      <c r="N199" s="22">
        <f>IF(AND('CASH FLOW'!N199=0,BUDGET!N199=0),"",'CASH FLOW'!N199-BUDGET!N199)</f>
        <v/>
      </c>
      <c r="O199" s="22">
        <f>IF(AND('CASH FLOW'!O199=0,BUDGET!O199=0),"",'CASH FLOW'!O199-BUDGET!O199)</f>
        <v/>
      </c>
      <c r="Q199" s="23">
        <f>IF(BUDGET!O199=0,"",('CASH FLOW'!O199-BUDGET!O199)/ABS(BUDGET!O199))</f>
        <v/>
      </c>
    </row>
    <row r="200">
      <c r="A200" s="13">
        <f>'CASH FLOW'!A200</f>
        <v/>
      </c>
      <c r="B200" s="13">
        <f>'CASH FLOW'!B200</f>
        <v/>
      </c>
      <c r="C200" s="22">
        <f>IF(AND('CASH FLOW'!C200=0,BUDGET!C200=0),"",'CASH FLOW'!C200-BUDGET!C200)</f>
        <v/>
      </c>
      <c r="D200" s="22">
        <f>IF(AND('CASH FLOW'!D200=0,BUDGET!D200=0),"",'CASH FLOW'!D200-BUDGET!D200)</f>
        <v/>
      </c>
      <c r="E200" s="22">
        <f>IF(AND('CASH FLOW'!E200=0,BUDGET!E200=0),"",'CASH FLOW'!E200-BUDGET!E200)</f>
        <v/>
      </c>
      <c r="F200" s="22">
        <f>IF(AND('CASH FLOW'!F200=0,BUDGET!F200=0),"",'CASH FLOW'!F200-BUDGET!F200)</f>
        <v/>
      </c>
      <c r="G200" s="22">
        <f>IF(AND('CASH FLOW'!G200=0,BUDGET!G200=0),"",'CASH FLOW'!G200-BUDGET!G200)</f>
        <v/>
      </c>
      <c r="H200" s="22">
        <f>IF(AND('CASH FLOW'!H200=0,BUDGET!H200=0),"",'CASH FLOW'!H200-BUDGET!H200)</f>
        <v/>
      </c>
      <c r="I200" s="22">
        <f>IF(AND('CASH FLOW'!I200=0,BUDGET!I200=0),"",'CASH FLOW'!I200-BUDGET!I200)</f>
        <v/>
      </c>
      <c r="J200" s="22">
        <f>IF(AND('CASH FLOW'!J200=0,BUDGET!J200=0),"",'CASH FLOW'!J200-BUDGET!J200)</f>
        <v/>
      </c>
      <c r="K200" s="22">
        <f>IF(AND('CASH FLOW'!K200=0,BUDGET!K200=0),"",'CASH FLOW'!K200-BUDGET!K200)</f>
        <v/>
      </c>
      <c r="L200" s="22">
        <f>IF(AND('CASH FLOW'!L200=0,BUDGET!L200=0),"",'CASH FLOW'!L200-BUDGET!L200)</f>
        <v/>
      </c>
      <c r="M200" s="22">
        <f>IF(AND('CASH FLOW'!M200=0,BUDGET!M200=0),"",'CASH FLOW'!M200-BUDGET!M200)</f>
        <v/>
      </c>
      <c r="N200" s="22">
        <f>IF(AND('CASH FLOW'!N200=0,BUDGET!N200=0),"",'CASH FLOW'!N200-BUDGET!N200)</f>
        <v/>
      </c>
      <c r="O200" s="22">
        <f>IF(AND('CASH FLOW'!O200=0,BUDGET!O200=0),"",'CASH FLOW'!O200-BUDGET!O200)</f>
        <v/>
      </c>
      <c r="Q200" s="23">
        <f>IF(BUDGET!O200=0,"",('CASH FLOW'!O200-BUDGET!O200)/ABS(BUDGET!O200))</f>
        <v/>
      </c>
    </row>
    <row r="201">
      <c r="A201" s="13">
        <f>'CASH FLOW'!A201</f>
        <v/>
      </c>
      <c r="B201" s="13">
        <f>'CASH FLOW'!B201</f>
        <v/>
      </c>
      <c r="C201" s="22">
        <f>IF(AND('CASH FLOW'!C201=0,BUDGET!C201=0),"",'CASH FLOW'!C201-BUDGET!C201)</f>
        <v/>
      </c>
      <c r="D201" s="22">
        <f>IF(AND('CASH FLOW'!D201=0,BUDGET!D201=0),"",'CASH FLOW'!D201-BUDGET!D201)</f>
        <v/>
      </c>
      <c r="E201" s="22">
        <f>IF(AND('CASH FLOW'!E201=0,BUDGET!E201=0),"",'CASH FLOW'!E201-BUDGET!E201)</f>
        <v/>
      </c>
      <c r="F201" s="22">
        <f>IF(AND('CASH FLOW'!F201=0,BUDGET!F201=0),"",'CASH FLOW'!F201-BUDGET!F201)</f>
        <v/>
      </c>
      <c r="G201" s="22">
        <f>IF(AND('CASH FLOW'!G201=0,BUDGET!G201=0),"",'CASH FLOW'!G201-BUDGET!G201)</f>
        <v/>
      </c>
      <c r="H201" s="22">
        <f>IF(AND('CASH FLOW'!H201=0,BUDGET!H201=0),"",'CASH FLOW'!H201-BUDGET!H201)</f>
        <v/>
      </c>
      <c r="I201" s="22">
        <f>IF(AND('CASH FLOW'!I201=0,BUDGET!I201=0),"",'CASH FLOW'!I201-BUDGET!I201)</f>
        <v/>
      </c>
      <c r="J201" s="22">
        <f>IF(AND('CASH FLOW'!J201=0,BUDGET!J201=0),"",'CASH FLOW'!J201-BUDGET!J201)</f>
        <v/>
      </c>
      <c r="K201" s="22">
        <f>IF(AND('CASH FLOW'!K201=0,BUDGET!K201=0),"",'CASH FLOW'!K201-BUDGET!K201)</f>
        <v/>
      </c>
      <c r="L201" s="22">
        <f>IF(AND('CASH FLOW'!L201=0,BUDGET!L201=0),"",'CASH FLOW'!L201-BUDGET!L201)</f>
        <v/>
      </c>
      <c r="M201" s="22">
        <f>IF(AND('CASH FLOW'!M201=0,BUDGET!M201=0),"",'CASH FLOW'!M201-BUDGET!M201)</f>
        <v/>
      </c>
      <c r="N201" s="22">
        <f>IF(AND('CASH FLOW'!N201=0,BUDGET!N201=0),"",'CASH FLOW'!N201-BUDGET!N201)</f>
        <v/>
      </c>
      <c r="O201" s="22">
        <f>IF(AND('CASH FLOW'!O201=0,BUDGET!O201=0),"",'CASH FLOW'!O201-BUDGET!O201)</f>
        <v/>
      </c>
      <c r="Q201" s="23">
        <f>IF(BUDGET!O201=0,"",('CASH FLOW'!O201-BUDGET!O201)/ABS(BUDGET!O201))</f>
        <v/>
      </c>
    </row>
    <row r="202">
      <c r="A202" s="13">
        <f>'CASH FLOW'!A202</f>
        <v/>
      </c>
      <c r="B202" s="13">
        <f>'CASH FLOW'!B202</f>
        <v/>
      </c>
      <c r="C202" s="22">
        <f>IF(AND('CASH FLOW'!C202=0,BUDGET!C202=0),"",'CASH FLOW'!C202-BUDGET!C202)</f>
        <v/>
      </c>
      <c r="D202" s="22">
        <f>IF(AND('CASH FLOW'!D202=0,BUDGET!D202=0),"",'CASH FLOW'!D202-BUDGET!D202)</f>
        <v/>
      </c>
      <c r="E202" s="22">
        <f>IF(AND('CASH FLOW'!E202=0,BUDGET!E202=0),"",'CASH FLOW'!E202-BUDGET!E202)</f>
        <v/>
      </c>
      <c r="F202" s="22">
        <f>IF(AND('CASH FLOW'!F202=0,BUDGET!F202=0),"",'CASH FLOW'!F202-BUDGET!F202)</f>
        <v/>
      </c>
      <c r="G202" s="22">
        <f>IF(AND('CASH FLOW'!G202=0,BUDGET!G202=0),"",'CASH FLOW'!G202-BUDGET!G202)</f>
        <v/>
      </c>
      <c r="H202" s="22">
        <f>IF(AND('CASH FLOW'!H202=0,BUDGET!H202=0),"",'CASH FLOW'!H202-BUDGET!H202)</f>
        <v/>
      </c>
      <c r="I202" s="22">
        <f>IF(AND('CASH FLOW'!I202=0,BUDGET!I202=0),"",'CASH FLOW'!I202-BUDGET!I202)</f>
        <v/>
      </c>
      <c r="J202" s="22">
        <f>IF(AND('CASH FLOW'!J202=0,BUDGET!J202=0),"",'CASH FLOW'!J202-BUDGET!J202)</f>
        <v/>
      </c>
      <c r="K202" s="22">
        <f>IF(AND('CASH FLOW'!K202=0,BUDGET!K202=0),"",'CASH FLOW'!K202-BUDGET!K202)</f>
        <v/>
      </c>
      <c r="L202" s="22">
        <f>IF(AND('CASH FLOW'!L202=0,BUDGET!L202=0),"",'CASH FLOW'!L202-BUDGET!L202)</f>
        <v/>
      </c>
      <c r="M202" s="22">
        <f>IF(AND('CASH FLOW'!M202=0,BUDGET!M202=0),"",'CASH FLOW'!M202-BUDGET!M202)</f>
        <v/>
      </c>
      <c r="N202" s="22">
        <f>IF(AND('CASH FLOW'!N202=0,BUDGET!N202=0),"",'CASH FLOW'!N202-BUDGET!N202)</f>
        <v/>
      </c>
      <c r="O202" s="22">
        <f>IF(AND('CASH FLOW'!O202=0,BUDGET!O202=0),"",'CASH FLOW'!O202-BUDGET!O202)</f>
        <v/>
      </c>
      <c r="Q202" s="23">
        <f>IF(BUDGET!O202=0,"",('CASH FLOW'!O202-BUDGET!O202)/ABS(BUDGET!O202))</f>
        <v/>
      </c>
    </row>
    <row r="203">
      <c r="A203" s="13">
        <f>'CASH FLOW'!A203</f>
        <v/>
      </c>
      <c r="B203" s="13">
        <f>'CASH FLOW'!B203</f>
        <v/>
      </c>
      <c r="C203" s="22">
        <f>IF(AND('CASH FLOW'!C203=0,BUDGET!C203=0),"",'CASH FLOW'!C203-BUDGET!C203)</f>
        <v/>
      </c>
      <c r="D203" s="22">
        <f>IF(AND('CASH FLOW'!D203=0,BUDGET!D203=0),"",'CASH FLOW'!D203-BUDGET!D203)</f>
        <v/>
      </c>
      <c r="E203" s="22">
        <f>IF(AND('CASH FLOW'!E203=0,BUDGET!E203=0),"",'CASH FLOW'!E203-BUDGET!E203)</f>
        <v/>
      </c>
      <c r="F203" s="22">
        <f>IF(AND('CASH FLOW'!F203=0,BUDGET!F203=0),"",'CASH FLOW'!F203-BUDGET!F203)</f>
        <v/>
      </c>
      <c r="G203" s="22">
        <f>IF(AND('CASH FLOW'!G203=0,BUDGET!G203=0),"",'CASH FLOW'!G203-BUDGET!G203)</f>
        <v/>
      </c>
      <c r="H203" s="22">
        <f>IF(AND('CASH FLOW'!H203=0,BUDGET!H203=0),"",'CASH FLOW'!H203-BUDGET!H203)</f>
        <v/>
      </c>
      <c r="I203" s="22">
        <f>IF(AND('CASH FLOW'!I203=0,BUDGET!I203=0),"",'CASH FLOW'!I203-BUDGET!I203)</f>
        <v/>
      </c>
      <c r="J203" s="22">
        <f>IF(AND('CASH FLOW'!J203=0,BUDGET!J203=0),"",'CASH FLOW'!J203-BUDGET!J203)</f>
        <v/>
      </c>
      <c r="K203" s="22">
        <f>IF(AND('CASH FLOW'!K203=0,BUDGET!K203=0),"",'CASH FLOW'!K203-BUDGET!K203)</f>
        <v/>
      </c>
      <c r="L203" s="22">
        <f>IF(AND('CASH FLOW'!L203=0,BUDGET!L203=0),"",'CASH FLOW'!L203-BUDGET!L203)</f>
        <v/>
      </c>
      <c r="M203" s="22">
        <f>IF(AND('CASH FLOW'!M203=0,BUDGET!M203=0),"",'CASH FLOW'!M203-BUDGET!M203)</f>
        <v/>
      </c>
      <c r="N203" s="22">
        <f>IF(AND('CASH FLOW'!N203=0,BUDGET!N203=0),"",'CASH FLOW'!N203-BUDGET!N203)</f>
        <v/>
      </c>
      <c r="O203" s="22">
        <f>IF(AND('CASH FLOW'!O203=0,BUDGET!O203=0),"",'CASH FLOW'!O203-BUDGET!O203)</f>
        <v/>
      </c>
      <c r="Q203" s="23">
        <f>IF(BUDGET!O203=0,"",('CASH FLOW'!O203-BUDGET!O203)/ABS(BUDGET!O203))</f>
        <v/>
      </c>
    </row>
    <row r="204">
      <c r="A204" s="13">
        <f>'CASH FLOW'!A204</f>
        <v/>
      </c>
      <c r="B204" s="13">
        <f>'CASH FLOW'!B204</f>
        <v/>
      </c>
      <c r="C204" s="22">
        <f>IF(AND('CASH FLOW'!C204=0,BUDGET!C204=0),"",'CASH FLOW'!C204-BUDGET!C204)</f>
        <v/>
      </c>
      <c r="D204" s="22">
        <f>IF(AND('CASH FLOW'!D204=0,BUDGET!D204=0),"",'CASH FLOW'!D204-BUDGET!D204)</f>
        <v/>
      </c>
      <c r="E204" s="22">
        <f>IF(AND('CASH FLOW'!E204=0,BUDGET!E204=0),"",'CASH FLOW'!E204-BUDGET!E204)</f>
        <v/>
      </c>
      <c r="F204" s="22">
        <f>IF(AND('CASH FLOW'!F204=0,BUDGET!F204=0),"",'CASH FLOW'!F204-BUDGET!F204)</f>
        <v/>
      </c>
      <c r="G204" s="22">
        <f>IF(AND('CASH FLOW'!G204=0,BUDGET!G204=0),"",'CASH FLOW'!G204-BUDGET!G204)</f>
        <v/>
      </c>
      <c r="H204" s="22">
        <f>IF(AND('CASH FLOW'!H204=0,BUDGET!H204=0),"",'CASH FLOW'!H204-BUDGET!H204)</f>
        <v/>
      </c>
      <c r="I204" s="22">
        <f>IF(AND('CASH FLOW'!I204=0,BUDGET!I204=0),"",'CASH FLOW'!I204-BUDGET!I204)</f>
        <v/>
      </c>
      <c r="J204" s="22">
        <f>IF(AND('CASH FLOW'!J204=0,BUDGET!J204=0),"",'CASH FLOW'!J204-BUDGET!J204)</f>
        <v/>
      </c>
      <c r="K204" s="22">
        <f>IF(AND('CASH FLOW'!K204=0,BUDGET!K204=0),"",'CASH FLOW'!K204-BUDGET!K204)</f>
        <v/>
      </c>
      <c r="L204" s="22">
        <f>IF(AND('CASH FLOW'!L204=0,BUDGET!L204=0),"",'CASH FLOW'!L204-BUDGET!L204)</f>
        <v/>
      </c>
      <c r="M204" s="22">
        <f>IF(AND('CASH FLOW'!M204=0,BUDGET!M204=0),"",'CASH FLOW'!M204-BUDGET!M204)</f>
        <v/>
      </c>
      <c r="N204" s="22">
        <f>IF(AND('CASH FLOW'!N204=0,BUDGET!N204=0),"",'CASH FLOW'!N204-BUDGET!N204)</f>
        <v/>
      </c>
      <c r="O204" s="22">
        <f>IF(AND('CASH FLOW'!O204=0,BUDGET!O204=0),"",'CASH FLOW'!O204-BUDGET!O204)</f>
        <v/>
      </c>
      <c r="Q204" s="23">
        <f>IF(BUDGET!O204=0,"",('CASH FLOW'!O204-BUDGET!O204)/ABS(BUDGET!O204))</f>
        <v/>
      </c>
    </row>
    <row r="205">
      <c r="A205" s="13">
        <f>'CASH FLOW'!A205</f>
        <v/>
      </c>
      <c r="B205" s="13">
        <f>'CASH FLOW'!B205</f>
        <v/>
      </c>
      <c r="C205" s="22">
        <f>IF(AND('CASH FLOW'!C205=0,BUDGET!C205=0),"",'CASH FLOW'!C205-BUDGET!C205)</f>
        <v/>
      </c>
      <c r="D205" s="22">
        <f>IF(AND('CASH FLOW'!D205=0,BUDGET!D205=0),"",'CASH FLOW'!D205-BUDGET!D205)</f>
        <v/>
      </c>
      <c r="E205" s="22">
        <f>IF(AND('CASH FLOW'!E205=0,BUDGET!E205=0),"",'CASH FLOW'!E205-BUDGET!E205)</f>
        <v/>
      </c>
      <c r="F205" s="22">
        <f>IF(AND('CASH FLOW'!F205=0,BUDGET!F205=0),"",'CASH FLOW'!F205-BUDGET!F205)</f>
        <v/>
      </c>
      <c r="G205" s="22">
        <f>IF(AND('CASH FLOW'!G205=0,BUDGET!G205=0),"",'CASH FLOW'!G205-BUDGET!G205)</f>
        <v/>
      </c>
      <c r="H205" s="22">
        <f>IF(AND('CASH FLOW'!H205=0,BUDGET!H205=0),"",'CASH FLOW'!H205-BUDGET!H205)</f>
        <v/>
      </c>
      <c r="I205" s="22">
        <f>IF(AND('CASH FLOW'!I205=0,BUDGET!I205=0),"",'CASH FLOW'!I205-BUDGET!I205)</f>
        <v/>
      </c>
      <c r="J205" s="22">
        <f>IF(AND('CASH FLOW'!J205=0,BUDGET!J205=0),"",'CASH FLOW'!J205-BUDGET!J205)</f>
        <v/>
      </c>
      <c r="K205" s="22">
        <f>IF(AND('CASH FLOW'!K205=0,BUDGET!K205=0),"",'CASH FLOW'!K205-BUDGET!K205)</f>
        <v/>
      </c>
      <c r="L205" s="22">
        <f>IF(AND('CASH FLOW'!L205=0,BUDGET!L205=0),"",'CASH FLOW'!L205-BUDGET!L205)</f>
        <v/>
      </c>
      <c r="M205" s="22">
        <f>IF(AND('CASH FLOW'!M205=0,BUDGET!M205=0),"",'CASH FLOW'!M205-BUDGET!M205)</f>
        <v/>
      </c>
      <c r="N205" s="22">
        <f>IF(AND('CASH FLOW'!N205=0,BUDGET!N205=0),"",'CASH FLOW'!N205-BUDGET!N205)</f>
        <v/>
      </c>
      <c r="O205" s="22">
        <f>IF(AND('CASH FLOW'!O205=0,BUDGET!O205=0),"",'CASH FLOW'!O205-BUDGET!O205)</f>
        <v/>
      </c>
      <c r="Q205" s="23">
        <f>IF(BUDGET!O205=0,"",('CASH FLOW'!O205-BUDGET!O205)/ABS(BUDGET!O205))</f>
        <v/>
      </c>
    </row>
    <row r="206">
      <c r="A206" s="13">
        <f>'CASH FLOW'!A206</f>
        <v/>
      </c>
      <c r="B206" s="13">
        <f>'CASH FLOW'!B206</f>
        <v/>
      </c>
      <c r="C206" s="22">
        <f>IF(AND('CASH FLOW'!C206=0,BUDGET!C206=0),"",'CASH FLOW'!C206-BUDGET!C206)</f>
        <v/>
      </c>
      <c r="D206" s="22">
        <f>IF(AND('CASH FLOW'!D206=0,BUDGET!D206=0),"",'CASH FLOW'!D206-BUDGET!D206)</f>
        <v/>
      </c>
      <c r="E206" s="22">
        <f>IF(AND('CASH FLOW'!E206=0,BUDGET!E206=0),"",'CASH FLOW'!E206-BUDGET!E206)</f>
        <v/>
      </c>
      <c r="F206" s="22">
        <f>IF(AND('CASH FLOW'!F206=0,BUDGET!F206=0),"",'CASH FLOW'!F206-BUDGET!F206)</f>
        <v/>
      </c>
      <c r="G206" s="22">
        <f>IF(AND('CASH FLOW'!G206=0,BUDGET!G206=0),"",'CASH FLOW'!G206-BUDGET!G206)</f>
        <v/>
      </c>
      <c r="H206" s="22">
        <f>IF(AND('CASH FLOW'!H206=0,BUDGET!H206=0),"",'CASH FLOW'!H206-BUDGET!H206)</f>
        <v/>
      </c>
      <c r="I206" s="22">
        <f>IF(AND('CASH FLOW'!I206=0,BUDGET!I206=0),"",'CASH FLOW'!I206-BUDGET!I206)</f>
        <v/>
      </c>
      <c r="J206" s="22">
        <f>IF(AND('CASH FLOW'!J206=0,BUDGET!J206=0),"",'CASH FLOW'!J206-BUDGET!J206)</f>
        <v/>
      </c>
      <c r="K206" s="22">
        <f>IF(AND('CASH FLOW'!K206=0,BUDGET!K206=0),"",'CASH FLOW'!K206-BUDGET!K206)</f>
        <v/>
      </c>
      <c r="L206" s="22">
        <f>IF(AND('CASH FLOW'!L206=0,BUDGET!L206=0),"",'CASH FLOW'!L206-BUDGET!L206)</f>
        <v/>
      </c>
      <c r="M206" s="22">
        <f>IF(AND('CASH FLOW'!M206=0,BUDGET!M206=0),"",'CASH FLOW'!M206-BUDGET!M206)</f>
        <v/>
      </c>
      <c r="N206" s="22">
        <f>IF(AND('CASH FLOW'!N206=0,BUDGET!N206=0),"",'CASH FLOW'!N206-BUDGET!N206)</f>
        <v/>
      </c>
      <c r="O206" s="22">
        <f>IF(AND('CASH FLOW'!O206=0,BUDGET!O206=0),"",'CASH FLOW'!O206-BUDGET!O206)</f>
        <v/>
      </c>
      <c r="Q206" s="23">
        <f>IF(BUDGET!O206=0,"",('CASH FLOW'!O206-BUDGET!O206)/ABS(BUDGET!O206))</f>
        <v/>
      </c>
    </row>
    <row r="207">
      <c r="A207" s="13">
        <f>'CASH FLOW'!A207</f>
        <v/>
      </c>
      <c r="B207" s="13">
        <f>'CASH FLOW'!B207</f>
        <v/>
      </c>
      <c r="C207" s="22">
        <f>IF(AND('CASH FLOW'!C207=0,BUDGET!C207=0),"",'CASH FLOW'!C207-BUDGET!C207)</f>
        <v/>
      </c>
      <c r="D207" s="22">
        <f>IF(AND('CASH FLOW'!D207=0,BUDGET!D207=0),"",'CASH FLOW'!D207-BUDGET!D207)</f>
        <v/>
      </c>
      <c r="E207" s="22">
        <f>IF(AND('CASH FLOW'!E207=0,BUDGET!E207=0),"",'CASH FLOW'!E207-BUDGET!E207)</f>
        <v/>
      </c>
      <c r="F207" s="22">
        <f>IF(AND('CASH FLOW'!F207=0,BUDGET!F207=0),"",'CASH FLOW'!F207-BUDGET!F207)</f>
        <v/>
      </c>
      <c r="G207" s="22">
        <f>IF(AND('CASH FLOW'!G207=0,BUDGET!G207=0),"",'CASH FLOW'!G207-BUDGET!G207)</f>
        <v/>
      </c>
      <c r="H207" s="22">
        <f>IF(AND('CASH FLOW'!H207=0,BUDGET!H207=0),"",'CASH FLOW'!H207-BUDGET!H207)</f>
        <v/>
      </c>
      <c r="I207" s="22">
        <f>IF(AND('CASH FLOW'!I207=0,BUDGET!I207=0),"",'CASH FLOW'!I207-BUDGET!I207)</f>
        <v/>
      </c>
      <c r="J207" s="22">
        <f>IF(AND('CASH FLOW'!J207=0,BUDGET!J207=0),"",'CASH FLOW'!J207-BUDGET!J207)</f>
        <v/>
      </c>
      <c r="K207" s="22">
        <f>IF(AND('CASH FLOW'!K207=0,BUDGET!K207=0),"",'CASH FLOW'!K207-BUDGET!K207)</f>
        <v/>
      </c>
      <c r="L207" s="22">
        <f>IF(AND('CASH FLOW'!L207=0,BUDGET!L207=0),"",'CASH FLOW'!L207-BUDGET!L207)</f>
        <v/>
      </c>
      <c r="M207" s="22">
        <f>IF(AND('CASH FLOW'!M207=0,BUDGET!M207=0),"",'CASH FLOW'!M207-BUDGET!M207)</f>
        <v/>
      </c>
      <c r="N207" s="22">
        <f>IF(AND('CASH FLOW'!N207=0,BUDGET!N207=0),"",'CASH FLOW'!N207-BUDGET!N207)</f>
        <v/>
      </c>
      <c r="O207" s="22">
        <f>IF(AND('CASH FLOW'!O207=0,BUDGET!O207=0),"",'CASH FLOW'!O207-BUDGET!O207)</f>
        <v/>
      </c>
      <c r="Q207" s="23">
        <f>IF(BUDGET!O207=0,"",('CASH FLOW'!O207-BUDGET!O207)/ABS(BUDGET!O207))</f>
        <v/>
      </c>
    </row>
    <row r="208">
      <c r="A208" s="13">
        <f>'CASH FLOW'!A208</f>
        <v/>
      </c>
      <c r="B208" s="13">
        <f>'CASH FLOW'!B208</f>
        <v/>
      </c>
      <c r="C208" s="22">
        <f>IF(AND('CASH FLOW'!C208=0,BUDGET!C208=0),"",'CASH FLOW'!C208-BUDGET!C208)</f>
        <v/>
      </c>
      <c r="D208" s="22">
        <f>IF(AND('CASH FLOW'!D208=0,BUDGET!D208=0),"",'CASH FLOW'!D208-BUDGET!D208)</f>
        <v/>
      </c>
      <c r="E208" s="22">
        <f>IF(AND('CASH FLOW'!E208=0,BUDGET!E208=0),"",'CASH FLOW'!E208-BUDGET!E208)</f>
        <v/>
      </c>
      <c r="F208" s="22">
        <f>IF(AND('CASH FLOW'!F208=0,BUDGET!F208=0),"",'CASH FLOW'!F208-BUDGET!F208)</f>
        <v/>
      </c>
      <c r="G208" s="22">
        <f>IF(AND('CASH FLOW'!G208=0,BUDGET!G208=0),"",'CASH FLOW'!G208-BUDGET!G208)</f>
        <v/>
      </c>
      <c r="H208" s="22">
        <f>IF(AND('CASH FLOW'!H208=0,BUDGET!H208=0),"",'CASH FLOW'!H208-BUDGET!H208)</f>
        <v/>
      </c>
      <c r="I208" s="22">
        <f>IF(AND('CASH FLOW'!I208=0,BUDGET!I208=0),"",'CASH FLOW'!I208-BUDGET!I208)</f>
        <v/>
      </c>
      <c r="J208" s="22">
        <f>IF(AND('CASH FLOW'!J208=0,BUDGET!J208=0),"",'CASH FLOW'!J208-BUDGET!J208)</f>
        <v/>
      </c>
      <c r="K208" s="22">
        <f>IF(AND('CASH FLOW'!K208=0,BUDGET!K208=0),"",'CASH FLOW'!K208-BUDGET!K208)</f>
        <v/>
      </c>
      <c r="L208" s="22">
        <f>IF(AND('CASH FLOW'!L208=0,BUDGET!L208=0),"",'CASH FLOW'!L208-BUDGET!L208)</f>
        <v/>
      </c>
      <c r="M208" s="22">
        <f>IF(AND('CASH FLOW'!M208=0,BUDGET!M208=0),"",'CASH FLOW'!M208-BUDGET!M208)</f>
        <v/>
      </c>
      <c r="N208" s="22">
        <f>IF(AND('CASH FLOW'!N208=0,BUDGET!N208=0),"",'CASH FLOW'!N208-BUDGET!N208)</f>
        <v/>
      </c>
      <c r="O208" s="22">
        <f>IF(AND('CASH FLOW'!O208=0,BUDGET!O208=0),"",'CASH FLOW'!O208-BUDGET!O208)</f>
        <v/>
      </c>
      <c r="Q208" s="23">
        <f>IF(BUDGET!O208=0,"",('CASH FLOW'!O208-BUDGET!O208)/ABS(BUDGET!O208))</f>
        <v/>
      </c>
    </row>
    <row r="209">
      <c r="A209" s="13">
        <f>'CASH FLOW'!A209</f>
        <v/>
      </c>
      <c r="B209" s="13">
        <f>'CASH FLOW'!B209</f>
        <v/>
      </c>
      <c r="C209" s="22">
        <f>IF(AND('CASH FLOW'!C209=0,BUDGET!C209=0),"",'CASH FLOW'!C209-BUDGET!C209)</f>
        <v/>
      </c>
      <c r="D209" s="22">
        <f>IF(AND('CASH FLOW'!D209=0,BUDGET!D209=0),"",'CASH FLOW'!D209-BUDGET!D209)</f>
        <v/>
      </c>
      <c r="E209" s="22">
        <f>IF(AND('CASH FLOW'!E209=0,BUDGET!E209=0),"",'CASH FLOW'!E209-BUDGET!E209)</f>
        <v/>
      </c>
      <c r="F209" s="22">
        <f>IF(AND('CASH FLOW'!F209=0,BUDGET!F209=0),"",'CASH FLOW'!F209-BUDGET!F209)</f>
        <v/>
      </c>
      <c r="G209" s="22">
        <f>IF(AND('CASH FLOW'!G209=0,BUDGET!G209=0),"",'CASH FLOW'!G209-BUDGET!G209)</f>
        <v/>
      </c>
      <c r="H209" s="22">
        <f>IF(AND('CASH FLOW'!H209=0,BUDGET!H209=0),"",'CASH FLOW'!H209-BUDGET!H209)</f>
        <v/>
      </c>
      <c r="I209" s="22">
        <f>IF(AND('CASH FLOW'!I209=0,BUDGET!I209=0),"",'CASH FLOW'!I209-BUDGET!I209)</f>
        <v/>
      </c>
      <c r="J209" s="22">
        <f>IF(AND('CASH FLOW'!J209=0,BUDGET!J209=0),"",'CASH FLOW'!J209-BUDGET!J209)</f>
        <v/>
      </c>
      <c r="K209" s="22">
        <f>IF(AND('CASH FLOW'!K209=0,BUDGET!K209=0),"",'CASH FLOW'!K209-BUDGET!K209)</f>
        <v/>
      </c>
      <c r="L209" s="22">
        <f>IF(AND('CASH FLOW'!L209=0,BUDGET!L209=0),"",'CASH FLOW'!L209-BUDGET!L209)</f>
        <v/>
      </c>
      <c r="M209" s="22">
        <f>IF(AND('CASH FLOW'!M209=0,BUDGET!M209=0),"",'CASH FLOW'!M209-BUDGET!M209)</f>
        <v/>
      </c>
      <c r="N209" s="22">
        <f>IF(AND('CASH FLOW'!N209=0,BUDGET!N209=0),"",'CASH FLOW'!N209-BUDGET!N209)</f>
        <v/>
      </c>
      <c r="O209" s="22">
        <f>IF(AND('CASH FLOW'!O209=0,BUDGET!O209=0),"",'CASH FLOW'!O209-BUDGET!O209)</f>
        <v/>
      </c>
      <c r="Q209" s="23">
        <f>IF(BUDGET!O209=0,"",('CASH FLOW'!O209-BUDGET!O209)/ABS(BUDGET!O209))</f>
        <v/>
      </c>
    </row>
    <row r="210">
      <c r="A210" s="13">
        <f>'CASH FLOW'!A210</f>
        <v/>
      </c>
      <c r="B210" s="13">
        <f>'CASH FLOW'!B210</f>
        <v/>
      </c>
      <c r="C210" s="22">
        <f>IF(AND('CASH FLOW'!C210=0,BUDGET!C210=0),"",'CASH FLOW'!C210-BUDGET!C210)</f>
        <v/>
      </c>
      <c r="D210" s="22">
        <f>IF(AND('CASH FLOW'!D210=0,BUDGET!D210=0),"",'CASH FLOW'!D210-BUDGET!D210)</f>
        <v/>
      </c>
      <c r="E210" s="22">
        <f>IF(AND('CASH FLOW'!E210=0,BUDGET!E210=0),"",'CASH FLOW'!E210-BUDGET!E210)</f>
        <v/>
      </c>
      <c r="F210" s="22">
        <f>IF(AND('CASH FLOW'!F210=0,BUDGET!F210=0),"",'CASH FLOW'!F210-BUDGET!F210)</f>
        <v/>
      </c>
      <c r="G210" s="22">
        <f>IF(AND('CASH FLOW'!G210=0,BUDGET!G210=0),"",'CASH FLOW'!G210-BUDGET!G210)</f>
        <v/>
      </c>
      <c r="H210" s="22">
        <f>IF(AND('CASH FLOW'!H210=0,BUDGET!H210=0),"",'CASH FLOW'!H210-BUDGET!H210)</f>
        <v/>
      </c>
      <c r="I210" s="22">
        <f>IF(AND('CASH FLOW'!I210=0,BUDGET!I210=0),"",'CASH FLOW'!I210-BUDGET!I210)</f>
        <v/>
      </c>
      <c r="J210" s="22">
        <f>IF(AND('CASH FLOW'!J210=0,BUDGET!J210=0),"",'CASH FLOW'!J210-BUDGET!J210)</f>
        <v/>
      </c>
      <c r="K210" s="22">
        <f>IF(AND('CASH FLOW'!K210=0,BUDGET!K210=0),"",'CASH FLOW'!K210-BUDGET!K210)</f>
        <v/>
      </c>
      <c r="L210" s="22">
        <f>IF(AND('CASH FLOW'!L210=0,BUDGET!L210=0),"",'CASH FLOW'!L210-BUDGET!L210)</f>
        <v/>
      </c>
      <c r="M210" s="22">
        <f>IF(AND('CASH FLOW'!M210=0,BUDGET!M210=0),"",'CASH FLOW'!M210-BUDGET!M210)</f>
        <v/>
      </c>
      <c r="N210" s="22">
        <f>IF(AND('CASH FLOW'!N210=0,BUDGET!N210=0),"",'CASH FLOW'!N210-BUDGET!N210)</f>
        <v/>
      </c>
      <c r="O210" s="22">
        <f>IF(AND('CASH FLOW'!O210=0,BUDGET!O210=0),"",'CASH FLOW'!O210-BUDGET!O210)</f>
        <v/>
      </c>
      <c r="Q210" s="23">
        <f>IF(BUDGET!O210=0,"",('CASH FLOW'!O210-BUDGET!O210)/ABS(BUDGET!O210))</f>
        <v/>
      </c>
    </row>
    <row r="211">
      <c r="A211" s="13">
        <f>'CASH FLOW'!A211</f>
        <v/>
      </c>
      <c r="B211" s="13">
        <f>'CASH FLOW'!B211</f>
        <v/>
      </c>
      <c r="C211" s="22">
        <f>IF(AND('CASH FLOW'!C211=0,BUDGET!C211=0),"",'CASH FLOW'!C211-BUDGET!C211)</f>
        <v/>
      </c>
      <c r="D211" s="22">
        <f>IF(AND('CASH FLOW'!D211=0,BUDGET!D211=0),"",'CASH FLOW'!D211-BUDGET!D211)</f>
        <v/>
      </c>
      <c r="E211" s="22">
        <f>IF(AND('CASH FLOW'!E211=0,BUDGET!E211=0),"",'CASH FLOW'!E211-BUDGET!E211)</f>
        <v/>
      </c>
      <c r="F211" s="22">
        <f>IF(AND('CASH FLOW'!F211=0,BUDGET!F211=0),"",'CASH FLOW'!F211-BUDGET!F211)</f>
        <v/>
      </c>
      <c r="G211" s="22">
        <f>IF(AND('CASH FLOW'!G211=0,BUDGET!G211=0),"",'CASH FLOW'!G211-BUDGET!G211)</f>
        <v/>
      </c>
      <c r="H211" s="22">
        <f>IF(AND('CASH FLOW'!H211=0,BUDGET!H211=0),"",'CASH FLOW'!H211-BUDGET!H211)</f>
        <v/>
      </c>
      <c r="I211" s="22">
        <f>IF(AND('CASH FLOW'!I211=0,BUDGET!I211=0),"",'CASH FLOW'!I211-BUDGET!I211)</f>
        <v/>
      </c>
      <c r="J211" s="22">
        <f>IF(AND('CASH FLOW'!J211=0,BUDGET!J211=0),"",'CASH FLOW'!J211-BUDGET!J211)</f>
        <v/>
      </c>
      <c r="K211" s="22">
        <f>IF(AND('CASH FLOW'!K211=0,BUDGET!K211=0),"",'CASH FLOW'!K211-BUDGET!K211)</f>
        <v/>
      </c>
      <c r="L211" s="22">
        <f>IF(AND('CASH FLOW'!L211=0,BUDGET!L211=0),"",'CASH FLOW'!L211-BUDGET!L211)</f>
        <v/>
      </c>
      <c r="M211" s="22">
        <f>IF(AND('CASH FLOW'!M211=0,BUDGET!M211=0),"",'CASH FLOW'!M211-BUDGET!M211)</f>
        <v/>
      </c>
      <c r="N211" s="22">
        <f>IF(AND('CASH FLOW'!N211=0,BUDGET!N211=0),"",'CASH FLOW'!N211-BUDGET!N211)</f>
        <v/>
      </c>
      <c r="O211" s="22">
        <f>IF(AND('CASH FLOW'!O211=0,BUDGET!O211=0),"",'CASH FLOW'!O211-BUDGET!O211)</f>
        <v/>
      </c>
      <c r="Q211" s="23">
        <f>IF(BUDGET!O211=0,"",('CASH FLOW'!O211-BUDGET!O211)/ABS(BUDGET!O211))</f>
        <v/>
      </c>
    </row>
    <row r="212">
      <c r="A212" s="13">
        <f>'CASH FLOW'!A212</f>
        <v/>
      </c>
      <c r="B212" s="13">
        <f>'CASH FLOW'!B212</f>
        <v/>
      </c>
      <c r="C212" s="22">
        <f>IF(AND('CASH FLOW'!C212=0,BUDGET!C212=0),"",'CASH FLOW'!C212-BUDGET!C212)</f>
        <v/>
      </c>
      <c r="D212" s="22">
        <f>IF(AND('CASH FLOW'!D212=0,BUDGET!D212=0),"",'CASH FLOW'!D212-BUDGET!D212)</f>
        <v/>
      </c>
      <c r="E212" s="22">
        <f>IF(AND('CASH FLOW'!E212=0,BUDGET!E212=0),"",'CASH FLOW'!E212-BUDGET!E212)</f>
        <v/>
      </c>
      <c r="F212" s="22">
        <f>IF(AND('CASH FLOW'!F212=0,BUDGET!F212=0),"",'CASH FLOW'!F212-BUDGET!F212)</f>
        <v/>
      </c>
      <c r="G212" s="22">
        <f>IF(AND('CASH FLOW'!G212=0,BUDGET!G212=0),"",'CASH FLOW'!G212-BUDGET!G212)</f>
        <v/>
      </c>
      <c r="H212" s="22">
        <f>IF(AND('CASH FLOW'!H212=0,BUDGET!H212=0),"",'CASH FLOW'!H212-BUDGET!H212)</f>
        <v/>
      </c>
      <c r="I212" s="22">
        <f>IF(AND('CASH FLOW'!I212=0,BUDGET!I212=0),"",'CASH FLOW'!I212-BUDGET!I212)</f>
        <v/>
      </c>
      <c r="J212" s="22">
        <f>IF(AND('CASH FLOW'!J212=0,BUDGET!J212=0),"",'CASH FLOW'!J212-BUDGET!J212)</f>
        <v/>
      </c>
      <c r="K212" s="22">
        <f>IF(AND('CASH FLOW'!K212=0,BUDGET!K212=0),"",'CASH FLOW'!K212-BUDGET!K212)</f>
        <v/>
      </c>
      <c r="L212" s="22">
        <f>IF(AND('CASH FLOW'!L212=0,BUDGET!L212=0),"",'CASH FLOW'!L212-BUDGET!L212)</f>
        <v/>
      </c>
      <c r="M212" s="22">
        <f>IF(AND('CASH FLOW'!M212=0,BUDGET!M212=0),"",'CASH FLOW'!M212-BUDGET!M212)</f>
        <v/>
      </c>
      <c r="N212" s="22">
        <f>IF(AND('CASH FLOW'!N212=0,BUDGET!N212=0),"",'CASH FLOW'!N212-BUDGET!N212)</f>
        <v/>
      </c>
      <c r="O212" s="22">
        <f>IF(AND('CASH FLOW'!O212=0,BUDGET!O212=0),"",'CASH FLOW'!O212-BUDGET!O212)</f>
        <v/>
      </c>
      <c r="Q212" s="23">
        <f>IF(BUDGET!O212=0,"",('CASH FLOW'!O212-BUDGET!O212)/ABS(BUDGET!O212))</f>
        <v/>
      </c>
    </row>
    <row r="213">
      <c r="A213" s="13">
        <f>'CASH FLOW'!A213</f>
        <v/>
      </c>
      <c r="B213" s="13">
        <f>'CASH FLOW'!B213</f>
        <v/>
      </c>
      <c r="C213" s="22">
        <f>IF(AND('CASH FLOW'!C213=0,BUDGET!C213=0),"",'CASH FLOW'!C213-BUDGET!C213)</f>
        <v/>
      </c>
      <c r="D213" s="22">
        <f>IF(AND('CASH FLOW'!D213=0,BUDGET!D213=0),"",'CASH FLOW'!D213-BUDGET!D213)</f>
        <v/>
      </c>
      <c r="E213" s="22">
        <f>IF(AND('CASH FLOW'!E213=0,BUDGET!E213=0),"",'CASH FLOW'!E213-BUDGET!E213)</f>
        <v/>
      </c>
      <c r="F213" s="22">
        <f>IF(AND('CASH FLOW'!F213=0,BUDGET!F213=0),"",'CASH FLOW'!F213-BUDGET!F213)</f>
        <v/>
      </c>
      <c r="G213" s="22">
        <f>IF(AND('CASH FLOW'!G213=0,BUDGET!G213=0),"",'CASH FLOW'!G213-BUDGET!G213)</f>
        <v/>
      </c>
      <c r="H213" s="22">
        <f>IF(AND('CASH FLOW'!H213=0,BUDGET!H213=0),"",'CASH FLOW'!H213-BUDGET!H213)</f>
        <v/>
      </c>
      <c r="I213" s="22">
        <f>IF(AND('CASH FLOW'!I213=0,BUDGET!I213=0),"",'CASH FLOW'!I213-BUDGET!I213)</f>
        <v/>
      </c>
      <c r="J213" s="22">
        <f>IF(AND('CASH FLOW'!J213=0,BUDGET!J213=0),"",'CASH FLOW'!J213-BUDGET!J213)</f>
        <v/>
      </c>
      <c r="K213" s="22">
        <f>IF(AND('CASH FLOW'!K213=0,BUDGET!K213=0),"",'CASH FLOW'!K213-BUDGET!K213)</f>
        <v/>
      </c>
      <c r="L213" s="22">
        <f>IF(AND('CASH FLOW'!L213=0,BUDGET!L213=0),"",'CASH FLOW'!L213-BUDGET!L213)</f>
        <v/>
      </c>
      <c r="M213" s="22">
        <f>IF(AND('CASH FLOW'!M213=0,BUDGET!M213=0),"",'CASH FLOW'!M213-BUDGET!M213)</f>
        <v/>
      </c>
      <c r="N213" s="22">
        <f>IF(AND('CASH FLOW'!N213=0,BUDGET!N213=0),"",'CASH FLOW'!N213-BUDGET!N213)</f>
        <v/>
      </c>
      <c r="O213" s="22">
        <f>IF(AND('CASH FLOW'!O213=0,BUDGET!O213=0),"",'CASH FLOW'!O213-BUDGET!O213)</f>
        <v/>
      </c>
      <c r="Q213" s="23">
        <f>IF(BUDGET!O213=0,"",('CASH FLOW'!O213-BUDGET!O213)/ABS(BUDGET!O213))</f>
        <v/>
      </c>
    </row>
    <row r="214">
      <c r="A214" s="13">
        <f>'CASH FLOW'!A214</f>
        <v/>
      </c>
      <c r="B214" s="13">
        <f>'CASH FLOW'!B214</f>
        <v/>
      </c>
      <c r="C214" s="22">
        <f>IF(AND('CASH FLOW'!C214=0,BUDGET!C214=0),"",'CASH FLOW'!C214-BUDGET!C214)</f>
        <v/>
      </c>
      <c r="D214" s="22">
        <f>IF(AND('CASH FLOW'!D214=0,BUDGET!D214=0),"",'CASH FLOW'!D214-BUDGET!D214)</f>
        <v/>
      </c>
      <c r="E214" s="22">
        <f>IF(AND('CASH FLOW'!E214=0,BUDGET!E214=0),"",'CASH FLOW'!E214-BUDGET!E214)</f>
        <v/>
      </c>
      <c r="F214" s="22">
        <f>IF(AND('CASH FLOW'!F214=0,BUDGET!F214=0),"",'CASH FLOW'!F214-BUDGET!F214)</f>
        <v/>
      </c>
      <c r="G214" s="22">
        <f>IF(AND('CASH FLOW'!G214=0,BUDGET!G214=0),"",'CASH FLOW'!G214-BUDGET!G214)</f>
        <v/>
      </c>
      <c r="H214" s="22">
        <f>IF(AND('CASH FLOW'!H214=0,BUDGET!H214=0),"",'CASH FLOW'!H214-BUDGET!H214)</f>
        <v/>
      </c>
      <c r="I214" s="22">
        <f>IF(AND('CASH FLOW'!I214=0,BUDGET!I214=0),"",'CASH FLOW'!I214-BUDGET!I214)</f>
        <v/>
      </c>
      <c r="J214" s="22">
        <f>IF(AND('CASH FLOW'!J214=0,BUDGET!J214=0),"",'CASH FLOW'!J214-BUDGET!J214)</f>
        <v/>
      </c>
      <c r="K214" s="22">
        <f>IF(AND('CASH FLOW'!K214=0,BUDGET!K214=0),"",'CASH FLOW'!K214-BUDGET!K214)</f>
        <v/>
      </c>
      <c r="L214" s="22">
        <f>IF(AND('CASH FLOW'!L214=0,BUDGET!L214=0),"",'CASH FLOW'!L214-BUDGET!L214)</f>
        <v/>
      </c>
      <c r="M214" s="22">
        <f>IF(AND('CASH FLOW'!M214=0,BUDGET!M214=0),"",'CASH FLOW'!M214-BUDGET!M214)</f>
        <v/>
      </c>
      <c r="N214" s="22">
        <f>IF(AND('CASH FLOW'!N214=0,BUDGET!N214=0),"",'CASH FLOW'!N214-BUDGET!N214)</f>
        <v/>
      </c>
      <c r="O214" s="22">
        <f>IF(AND('CASH FLOW'!O214=0,BUDGET!O214=0),"",'CASH FLOW'!O214-BUDGET!O214)</f>
        <v/>
      </c>
      <c r="Q214" s="23">
        <f>IF(BUDGET!O214=0,"",('CASH FLOW'!O214-BUDGET!O214)/ABS(BUDGET!O214))</f>
        <v/>
      </c>
    </row>
    <row r="215">
      <c r="A215" s="13">
        <f>'CASH FLOW'!A215</f>
        <v/>
      </c>
      <c r="B215" s="13">
        <f>'CASH FLOW'!B215</f>
        <v/>
      </c>
      <c r="C215" s="22">
        <f>IF(AND('CASH FLOW'!C215=0,BUDGET!C215=0),"",'CASH FLOW'!C215-BUDGET!C215)</f>
        <v/>
      </c>
      <c r="D215" s="22">
        <f>IF(AND('CASH FLOW'!D215=0,BUDGET!D215=0),"",'CASH FLOW'!D215-BUDGET!D215)</f>
        <v/>
      </c>
      <c r="E215" s="22">
        <f>IF(AND('CASH FLOW'!E215=0,BUDGET!E215=0),"",'CASH FLOW'!E215-BUDGET!E215)</f>
        <v/>
      </c>
      <c r="F215" s="22">
        <f>IF(AND('CASH FLOW'!F215=0,BUDGET!F215=0),"",'CASH FLOW'!F215-BUDGET!F215)</f>
        <v/>
      </c>
      <c r="G215" s="22">
        <f>IF(AND('CASH FLOW'!G215=0,BUDGET!G215=0),"",'CASH FLOW'!G215-BUDGET!G215)</f>
        <v/>
      </c>
      <c r="H215" s="22">
        <f>IF(AND('CASH FLOW'!H215=0,BUDGET!H215=0),"",'CASH FLOW'!H215-BUDGET!H215)</f>
        <v/>
      </c>
      <c r="I215" s="22">
        <f>IF(AND('CASH FLOW'!I215=0,BUDGET!I215=0),"",'CASH FLOW'!I215-BUDGET!I215)</f>
        <v/>
      </c>
      <c r="J215" s="22">
        <f>IF(AND('CASH FLOW'!J215=0,BUDGET!J215=0),"",'CASH FLOW'!J215-BUDGET!J215)</f>
        <v/>
      </c>
      <c r="K215" s="22">
        <f>IF(AND('CASH FLOW'!K215=0,BUDGET!K215=0),"",'CASH FLOW'!K215-BUDGET!K215)</f>
        <v/>
      </c>
      <c r="L215" s="22">
        <f>IF(AND('CASH FLOW'!L215=0,BUDGET!L215=0),"",'CASH FLOW'!L215-BUDGET!L215)</f>
        <v/>
      </c>
      <c r="M215" s="22">
        <f>IF(AND('CASH FLOW'!M215=0,BUDGET!M215=0),"",'CASH FLOW'!M215-BUDGET!M215)</f>
        <v/>
      </c>
      <c r="N215" s="22">
        <f>IF(AND('CASH FLOW'!N215=0,BUDGET!N215=0),"",'CASH FLOW'!N215-BUDGET!N215)</f>
        <v/>
      </c>
      <c r="O215" s="22">
        <f>IF(AND('CASH FLOW'!O215=0,BUDGET!O215=0),"",'CASH FLOW'!O215-BUDGET!O215)</f>
        <v/>
      </c>
      <c r="Q215" s="23">
        <f>IF(BUDGET!O215=0,"",('CASH FLOW'!O215-BUDGET!O215)/ABS(BUDGET!O215))</f>
        <v/>
      </c>
    </row>
    <row r="216">
      <c r="A216" s="13">
        <f>'CASH FLOW'!A216</f>
        <v/>
      </c>
      <c r="B216" s="13">
        <f>'CASH FLOW'!B216</f>
        <v/>
      </c>
      <c r="C216" s="22">
        <f>IF(AND('CASH FLOW'!C216=0,BUDGET!C216=0),"",'CASH FLOW'!C216-BUDGET!C216)</f>
        <v/>
      </c>
      <c r="D216" s="22">
        <f>IF(AND('CASH FLOW'!D216=0,BUDGET!D216=0),"",'CASH FLOW'!D216-BUDGET!D216)</f>
        <v/>
      </c>
      <c r="E216" s="22">
        <f>IF(AND('CASH FLOW'!E216=0,BUDGET!E216=0),"",'CASH FLOW'!E216-BUDGET!E216)</f>
        <v/>
      </c>
      <c r="F216" s="22">
        <f>IF(AND('CASH FLOW'!F216=0,BUDGET!F216=0),"",'CASH FLOW'!F216-BUDGET!F216)</f>
        <v/>
      </c>
      <c r="G216" s="22">
        <f>IF(AND('CASH FLOW'!G216=0,BUDGET!G216=0),"",'CASH FLOW'!G216-BUDGET!G216)</f>
        <v/>
      </c>
      <c r="H216" s="22">
        <f>IF(AND('CASH FLOW'!H216=0,BUDGET!H216=0),"",'CASH FLOW'!H216-BUDGET!H216)</f>
        <v/>
      </c>
      <c r="I216" s="22">
        <f>IF(AND('CASH FLOW'!I216=0,BUDGET!I216=0),"",'CASH FLOW'!I216-BUDGET!I216)</f>
        <v/>
      </c>
      <c r="J216" s="22">
        <f>IF(AND('CASH FLOW'!J216=0,BUDGET!J216=0),"",'CASH FLOW'!J216-BUDGET!J216)</f>
        <v/>
      </c>
      <c r="K216" s="22">
        <f>IF(AND('CASH FLOW'!K216=0,BUDGET!K216=0),"",'CASH FLOW'!K216-BUDGET!K216)</f>
        <v/>
      </c>
      <c r="L216" s="22">
        <f>IF(AND('CASH FLOW'!L216=0,BUDGET!L216=0),"",'CASH FLOW'!L216-BUDGET!L216)</f>
        <v/>
      </c>
      <c r="M216" s="22">
        <f>IF(AND('CASH FLOW'!M216=0,BUDGET!M216=0),"",'CASH FLOW'!M216-BUDGET!M216)</f>
        <v/>
      </c>
      <c r="N216" s="22">
        <f>IF(AND('CASH FLOW'!N216=0,BUDGET!N216=0),"",'CASH FLOW'!N216-BUDGET!N216)</f>
        <v/>
      </c>
      <c r="O216" s="22">
        <f>IF(AND('CASH FLOW'!O216=0,BUDGET!O216=0),"",'CASH FLOW'!O216-BUDGET!O216)</f>
        <v/>
      </c>
      <c r="Q216" s="23">
        <f>IF(BUDGET!O216=0,"",('CASH FLOW'!O216-BUDGET!O216)/ABS(BUDGET!O216))</f>
        <v/>
      </c>
    </row>
    <row r="217">
      <c r="A217" s="13">
        <f>'CASH FLOW'!A217</f>
        <v/>
      </c>
      <c r="B217" s="13">
        <f>'CASH FLOW'!B217</f>
        <v/>
      </c>
      <c r="C217" s="22">
        <f>IF(AND('CASH FLOW'!C217=0,BUDGET!C217=0),"",'CASH FLOW'!C217-BUDGET!C217)</f>
        <v/>
      </c>
      <c r="D217" s="22">
        <f>IF(AND('CASH FLOW'!D217=0,BUDGET!D217=0),"",'CASH FLOW'!D217-BUDGET!D217)</f>
        <v/>
      </c>
      <c r="E217" s="22">
        <f>IF(AND('CASH FLOW'!E217=0,BUDGET!E217=0),"",'CASH FLOW'!E217-BUDGET!E217)</f>
        <v/>
      </c>
      <c r="F217" s="22">
        <f>IF(AND('CASH FLOW'!F217=0,BUDGET!F217=0),"",'CASH FLOW'!F217-BUDGET!F217)</f>
        <v/>
      </c>
      <c r="G217" s="22">
        <f>IF(AND('CASH FLOW'!G217=0,BUDGET!G217=0),"",'CASH FLOW'!G217-BUDGET!G217)</f>
        <v/>
      </c>
      <c r="H217" s="22">
        <f>IF(AND('CASH FLOW'!H217=0,BUDGET!H217=0),"",'CASH FLOW'!H217-BUDGET!H217)</f>
        <v/>
      </c>
      <c r="I217" s="22">
        <f>IF(AND('CASH FLOW'!I217=0,BUDGET!I217=0),"",'CASH FLOW'!I217-BUDGET!I217)</f>
        <v/>
      </c>
      <c r="J217" s="22">
        <f>IF(AND('CASH FLOW'!J217=0,BUDGET!J217=0),"",'CASH FLOW'!J217-BUDGET!J217)</f>
        <v/>
      </c>
      <c r="K217" s="22">
        <f>IF(AND('CASH FLOW'!K217=0,BUDGET!K217=0),"",'CASH FLOW'!K217-BUDGET!K217)</f>
        <v/>
      </c>
      <c r="L217" s="22">
        <f>IF(AND('CASH FLOW'!L217=0,BUDGET!L217=0),"",'CASH FLOW'!L217-BUDGET!L217)</f>
        <v/>
      </c>
      <c r="M217" s="22">
        <f>IF(AND('CASH FLOW'!M217=0,BUDGET!M217=0),"",'CASH FLOW'!M217-BUDGET!M217)</f>
        <v/>
      </c>
      <c r="N217" s="22">
        <f>IF(AND('CASH FLOW'!N217=0,BUDGET!N217=0),"",'CASH FLOW'!N217-BUDGET!N217)</f>
        <v/>
      </c>
      <c r="O217" s="22">
        <f>IF(AND('CASH FLOW'!O217=0,BUDGET!O217=0),"",'CASH FLOW'!O217-BUDGET!O217)</f>
        <v/>
      </c>
      <c r="Q217" s="23">
        <f>IF(BUDGET!O217=0,"",('CASH FLOW'!O217-BUDGET!O217)/ABS(BUDGET!O217))</f>
        <v/>
      </c>
    </row>
    <row r="218">
      <c r="A218" s="13">
        <f>'CASH FLOW'!A218</f>
        <v/>
      </c>
      <c r="B218" s="13">
        <f>'CASH FLOW'!B218</f>
        <v/>
      </c>
      <c r="C218" s="22">
        <f>IF(AND('CASH FLOW'!C218=0,BUDGET!C218=0),"",'CASH FLOW'!C218-BUDGET!C218)</f>
        <v/>
      </c>
      <c r="D218" s="22">
        <f>IF(AND('CASH FLOW'!D218=0,BUDGET!D218=0),"",'CASH FLOW'!D218-BUDGET!D218)</f>
        <v/>
      </c>
      <c r="E218" s="22">
        <f>IF(AND('CASH FLOW'!E218=0,BUDGET!E218=0),"",'CASH FLOW'!E218-BUDGET!E218)</f>
        <v/>
      </c>
      <c r="F218" s="22">
        <f>IF(AND('CASH FLOW'!F218=0,BUDGET!F218=0),"",'CASH FLOW'!F218-BUDGET!F218)</f>
        <v/>
      </c>
      <c r="G218" s="22">
        <f>IF(AND('CASH FLOW'!G218=0,BUDGET!G218=0),"",'CASH FLOW'!G218-BUDGET!G218)</f>
        <v/>
      </c>
      <c r="H218" s="22">
        <f>IF(AND('CASH FLOW'!H218=0,BUDGET!H218=0),"",'CASH FLOW'!H218-BUDGET!H218)</f>
        <v/>
      </c>
      <c r="I218" s="22">
        <f>IF(AND('CASH FLOW'!I218=0,BUDGET!I218=0),"",'CASH FLOW'!I218-BUDGET!I218)</f>
        <v/>
      </c>
      <c r="J218" s="22">
        <f>IF(AND('CASH FLOW'!J218=0,BUDGET!J218=0),"",'CASH FLOW'!J218-BUDGET!J218)</f>
        <v/>
      </c>
      <c r="K218" s="22">
        <f>IF(AND('CASH FLOW'!K218=0,BUDGET!K218=0),"",'CASH FLOW'!K218-BUDGET!K218)</f>
        <v/>
      </c>
      <c r="L218" s="22">
        <f>IF(AND('CASH FLOW'!L218=0,BUDGET!L218=0),"",'CASH FLOW'!L218-BUDGET!L218)</f>
        <v/>
      </c>
      <c r="M218" s="22">
        <f>IF(AND('CASH FLOW'!M218=0,BUDGET!M218=0),"",'CASH FLOW'!M218-BUDGET!M218)</f>
        <v/>
      </c>
      <c r="N218" s="22">
        <f>IF(AND('CASH FLOW'!N218=0,BUDGET!N218=0),"",'CASH FLOW'!N218-BUDGET!N218)</f>
        <v/>
      </c>
      <c r="O218" s="22">
        <f>IF(AND('CASH FLOW'!O218=0,BUDGET!O218=0),"",'CASH FLOW'!O218-BUDGET!O218)</f>
        <v/>
      </c>
      <c r="Q218" s="23">
        <f>IF(BUDGET!O218=0,"",('CASH FLOW'!O218-BUDGET!O218)/ABS(BUDGET!O218))</f>
        <v/>
      </c>
    </row>
    <row r="219">
      <c r="A219" s="13">
        <f>'CASH FLOW'!A219</f>
        <v/>
      </c>
      <c r="B219" s="13">
        <f>'CASH FLOW'!B219</f>
        <v/>
      </c>
      <c r="C219" s="22">
        <f>IF(AND('CASH FLOW'!C219=0,BUDGET!C219=0),"",'CASH FLOW'!C219-BUDGET!C219)</f>
        <v/>
      </c>
      <c r="D219" s="22">
        <f>IF(AND('CASH FLOW'!D219=0,BUDGET!D219=0),"",'CASH FLOW'!D219-BUDGET!D219)</f>
        <v/>
      </c>
      <c r="E219" s="22">
        <f>IF(AND('CASH FLOW'!E219=0,BUDGET!E219=0),"",'CASH FLOW'!E219-BUDGET!E219)</f>
        <v/>
      </c>
      <c r="F219" s="22">
        <f>IF(AND('CASH FLOW'!F219=0,BUDGET!F219=0),"",'CASH FLOW'!F219-BUDGET!F219)</f>
        <v/>
      </c>
      <c r="G219" s="22">
        <f>IF(AND('CASH FLOW'!G219=0,BUDGET!G219=0),"",'CASH FLOW'!G219-BUDGET!G219)</f>
        <v/>
      </c>
      <c r="H219" s="22">
        <f>IF(AND('CASH FLOW'!H219=0,BUDGET!H219=0),"",'CASH FLOW'!H219-BUDGET!H219)</f>
        <v/>
      </c>
      <c r="I219" s="22">
        <f>IF(AND('CASH FLOW'!I219=0,BUDGET!I219=0),"",'CASH FLOW'!I219-BUDGET!I219)</f>
        <v/>
      </c>
      <c r="J219" s="22">
        <f>IF(AND('CASH FLOW'!J219=0,BUDGET!J219=0),"",'CASH FLOW'!J219-BUDGET!J219)</f>
        <v/>
      </c>
      <c r="K219" s="22">
        <f>IF(AND('CASH FLOW'!K219=0,BUDGET!K219=0),"",'CASH FLOW'!K219-BUDGET!K219)</f>
        <v/>
      </c>
      <c r="L219" s="22">
        <f>IF(AND('CASH FLOW'!L219=0,BUDGET!L219=0),"",'CASH FLOW'!L219-BUDGET!L219)</f>
        <v/>
      </c>
      <c r="M219" s="22">
        <f>IF(AND('CASH FLOW'!M219=0,BUDGET!M219=0),"",'CASH FLOW'!M219-BUDGET!M219)</f>
        <v/>
      </c>
      <c r="N219" s="22">
        <f>IF(AND('CASH FLOW'!N219=0,BUDGET!N219=0),"",'CASH FLOW'!N219-BUDGET!N219)</f>
        <v/>
      </c>
      <c r="O219" s="22">
        <f>IF(AND('CASH FLOW'!O219=0,BUDGET!O219=0),"",'CASH FLOW'!O219-BUDGET!O219)</f>
        <v/>
      </c>
      <c r="Q219" s="23">
        <f>IF(BUDGET!O219=0,"",('CASH FLOW'!O219-BUDGET!O219)/ABS(BUDGET!O219))</f>
        <v/>
      </c>
    </row>
    <row r="220">
      <c r="A220" s="13">
        <f>'CASH FLOW'!A220</f>
        <v/>
      </c>
      <c r="B220" s="13">
        <f>'CASH FLOW'!B220</f>
        <v/>
      </c>
      <c r="C220" s="22">
        <f>IF(AND('CASH FLOW'!C220=0,BUDGET!C220=0),"",'CASH FLOW'!C220-BUDGET!C220)</f>
        <v/>
      </c>
      <c r="D220" s="22">
        <f>IF(AND('CASH FLOW'!D220=0,BUDGET!D220=0),"",'CASH FLOW'!D220-BUDGET!D220)</f>
        <v/>
      </c>
      <c r="E220" s="22">
        <f>IF(AND('CASH FLOW'!E220=0,BUDGET!E220=0),"",'CASH FLOW'!E220-BUDGET!E220)</f>
        <v/>
      </c>
      <c r="F220" s="22">
        <f>IF(AND('CASH FLOW'!F220=0,BUDGET!F220=0),"",'CASH FLOW'!F220-BUDGET!F220)</f>
        <v/>
      </c>
      <c r="G220" s="22">
        <f>IF(AND('CASH FLOW'!G220=0,BUDGET!G220=0),"",'CASH FLOW'!G220-BUDGET!G220)</f>
        <v/>
      </c>
      <c r="H220" s="22">
        <f>IF(AND('CASH FLOW'!H220=0,BUDGET!H220=0),"",'CASH FLOW'!H220-BUDGET!H220)</f>
        <v/>
      </c>
      <c r="I220" s="22">
        <f>IF(AND('CASH FLOW'!I220=0,BUDGET!I220=0),"",'CASH FLOW'!I220-BUDGET!I220)</f>
        <v/>
      </c>
      <c r="J220" s="22">
        <f>IF(AND('CASH FLOW'!J220=0,BUDGET!J220=0),"",'CASH FLOW'!J220-BUDGET!J220)</f>
        <v/>
      </c>
      <c r="K220" s="22">
        <f>IF(AND('CASH FLOW'!K220=0,BUDGET!K220=0),"",'CASH FLOW'!K220-BUDGET!K220)</f>
        <v/>
      </c>
      <c r="L220" s="22">
        <f>IF(AND('CASH FLOW'!L220=0,BUDGET!L220=0),"",'CASH FLOW'!L220-BUDGET!L220)</f>
        <v/>
      </c>
      <c r="M220" s="22">
        <f>IF(AND('CASH FLOW'!M220=0,BUDGET!M220=0),"",'CASH FLOW'!M220-BUDGET!M220)</f>
        <v/>
      </c>
      <c r="N220" s="22">
        <f>IF(AND('CASH FLOW'!N220=0,BUDGET!N220=0),"",'CASH FLOW'!N220-BUDGET!N220)</f>
        <v/>
      </c>
      <c r="O220" s="22">
        <f>IF(AND('CASH FLOW'!O220=0,BUDGET!O220=0),"",'CASH FLOW'!O220-BUDGET!O220)</f>
        <v/>
      </c>
      <c r="Q220" s="23">
        <f>IF(BUDGET!O220=0,"",('CASH FLOW'!O220-BUDGET!O220)/ABS(BUDGET!O220))</f>
        <v/>
      </c>
    </row>
    <row r="221">
      <c r="A221" s="13">
        <f>'CASH FLOW'!A221</f>
        <v/>
      </c>
      <c r="B221" s="13">
        <f>'CASH FLOW'!B221</f>
        <v/>
      </c>
      <c r="C221" s="22">
        <f>IF(AND('CASH FLOW'!C221=0,BUDGET!C221=0),"",'CASH FLOW'!C221-BUDGET!C221)</f>
        <v/>
      </c>
      <c r="D221" s="22">
        <f>IF(AND('CASH FLOW'!D221=0,BUDGET!D221=0),"",'CASH FLOW'!D221-BUDGET!D221)</f>
        <v/>
      </c>
      <c r="E221" s="22">
        <f>IF(AND('CASH FLOW'!E221=0,BUDGET!E221=0),"",'CASH FLOW'!E221-BUDGET!E221)</f>
        <v/>
      </c>
      <c r="F221" s="22">
        <f>IF(AND('CASH FLOW'!F221=0,BUDGET!F221=0),"",'CASH FLOW'!F221-BUDGET!F221)</f>
        <v/>
      </c>
      <c r="G221" s="22">
        <f>IF(AND('CASH FLOW'!G221=0,BUDGET!G221=0),"",'CASH FLOW'!G221-BUDGET!G221)</f>
        <v/>
      </c>
      <c r="H221" s="22">
        <f>IF(AND('CASH FLOW'!H221=0,BUDGET!H221=0),"",'CASH FLOW'!H221-BUDGET!H221)</f>
        <v/>
      </c>
      <c r="I221" s="22">
        <f>IF(AND('CASH FLOW'!I221=0,BUDGET!I221=0),"",'CASH FLOW'!I221-BUDGET!I221)</f>
        <v/>
      </c>
      <c r="J221" s="22">
        <f>IF(AND('CASH FLOW'!J221=0,BUDGET!J221=0),"",'CASH FLOW'!J221-BUDGET!J221)</f>
        <v/>
      </c>
      <c r="K221" s="22">
        <f>IF(AND('CASH FLOW'!K221=0,BUDGET!K221=0),"",'CASH FLOW'!K221-BUDGET!K221)</f>
        <v/>
      </c>
      <c r="L221" s="22">
        <f>IF(AND('CASH FLOW'!L221=0,BUDGET!L221=0),"",'CASH FLOW'!L221-BUDGET!L221)</f>
        <v/>
      </c>
      <c r="M221" s="22">
        <f>IF(AND('CASH FLOW'!M221=0,BUDGET!M221=0),"",'CASH FLOW'!M221-BUDGET!M221)</f>
        <v/>
      </c>
      <c r="N221" s="22">
        <f>IF(AND('CASH FLOW'!N221=0,BUDGET!N221=0),"",'CASH FLOW'!N221-BUDGET!N221)</f>
        <v/>
      </c>
      <c r="O221" s="22">
        <f>IF(AND('CASH FLOW'!O221=0,BUDGET!O221=0),"",'CASH FLOW'!O221-BUDGET!O221)</f>
        <v/>
      </c>
      <c r="Q221" s="23">
        <f>IF(BUDGET!O221=0,"",('CASH FLOW'!O221-BUDGET!O221)/ABS(BUDGET!O221))</f>
        <v/>
      </c>
    </row>
    <row r="222">
      <c r="A222" s="13">
        <f>'CASH FLOW'!A222</f>
        <v/>
      </c>
      <c r="B222" s="13">
        <f>'CASH FLOW'!B222</f>
        <v/>
      </c>
      <c r="C222" s="22">
        <f>IF(AND('CASH FLOW'!C222=0,BUDGET!C222=0),"",'CASH FLOW'!C222-BUDGET!C222)</f>
        <v/>
      </c>
      <c r="D222" s="22">
        <f>IF(AND('CASH FLOW'!D222=0,BUDGET!D222=0),"",'CASH FLOW'!D222-BUDGET!D222)</f>
        <v/>
      </c>
      <c r="E222" s="22">
        <f>IF(AND('CASH FLOW'!E222=0,BUDGET!E222=0),"",'CASH FLOW'!E222-BUDGET!E222)</f>
        <v/>
      </c>
      <c r="F222" s="22">
        <f>IF(AND('CASH FLOW'!F222=0,BUDGET!F222=0),"",'CASH FLOW'!F222-BUDGET!F222)</f>
        <v/>
      </c>
      <c r="G222" s="22">
        <f>IF(AND('CASH FLOW'!G222=0,BUDGET!G222=0),"",'CASH FLOW'!G222-BUDGET!G222)</f>
        <v/>
      </c>
      <c r="H222" s="22">
        <f>IF(AND('CASH FLOW'!H222=0,BUDGET!H222=0),"",'CASH FLOW'!H222-BUDGET!H222)</f>
        <v/>
      </c>
      <c r="I222" s="22">
        <f>IF(AND('CASH FLOW'!I222=0,BUDGET!I222=0),"",'CASH FLOW'!I222-BUDGET!I222)</f>
        <v/>
      </c>
      <c r="J222" s="22">
        <f>IF(AND('CASH FLOW'!J222=0,BUDGET!J222=0),"",'CASH FLOW'!J222-BUDGET!J222)</f>
        <v/>
      </c>
      <c r="K222" s="22">
        <f>IF(AND('CASH FLOW'!K222=0,BUDGET!K222=0),"",'CASH FLOW'!K222-BUDGET!K222)</f>
        <v/>
      </c>
      <c r="L222" s="22">
        <f>IF(AND('CASH FLOW'!L222=0,BUDGET!L222=0),"",'CASH FLOW'!L222-BUDGET!L222)</f>
        <v/>
      </c>
      <c r="M222" s="22">
        <f>IF(AND('CASH FLOW'!M222=0,BUDGET!M222=0),"",'CASH FLOW'!M222-BUDGET!M222)</f>
        <v/>
      </c>
      <c r="N222" s="22">
        <f>IF(AND('CASH FLOW'!N222=0,BUDGET!N222=0),"",'CASH FLOW'!N222-BUDGET!N222)</f>
        <v/>
      </c>
      <c r="O222" s="22">
        <f>IF(AND('CASH FLOW'!O222=0,BUDGET!O222=0),"",'CASH FLOW'!O222-BUDGET!O222)</f>
        <v/>
      </c>
      <c r="Q222" s="23">
        <f>IF(BUDGET!O222=0,"",('CASH FLOW'!O222-BUDGET!O222)/ABS(BUDGET!O222))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3" customWidth="1" min="8" max="8"/>
    <col width="26" customWidth="1" min="9" max="9"/>
  </cols>
  <sheetData>
    <row r="1">
      <c r="A1" s="1" t="inlineStr">
        <is>
          <t>LETTURA PER CENTRO DI COSTO — totali dell'anno</t>
        </is>
      </c>
    </row>
    <row r="2">
      <c r="A2" s="2" t="inlineStr">
        <is>
          <t>Il centro segue l'attivita', non il conto corrente. I costi comuni restano su STR: il ribaltamento in fondo e' un calcolo di analisi, non scrive movimenti.</t>
        </is>
      </c>
    </row>
    <row r="4" ht="22" customHeight="1">
      <c r="A4" s="3" t="inlineStr">
        <is>
          <t>Codice</t>
        </is>
      </c>
      <c r="B4" s="3" t="inlineStr">
        <is>
          <t>Voce</t>
        </is>
      </c>
      <c r="C4" s="8" t="inlineStr">
        <is>
          <t>STR</t>
        </is>
      </c>
      <c r="D4" s="8" t="inlineStr">
        <is>
          <t>WEISS</t>
        </is>
      </c>
      <c r="E4" s="8" t="inlineStr">
        <is>
          <t>VV</t>
        </is>
      </c>
      <c r="F4" s="8" t="inlineStr">
        <is>
          <t>CAS</t>
        </is>
      </c>
      <c r="G4" s="8" t="inlineStr">
        <is>
          <t>TOTALE</t>
        </is>
      </c>
      <c r="H4" s="8" t="inlineStr"/>
      <c r="I4" s="8" t="inlineStr">
        <is>
          <t>Quadratura</t>
        </is>
      </c>
    </row>
    <row r="5">
      <c r="A5" s="9" t="inlineStr">
        <is>
          <t>A</t>
        </is>
      </c>
      <c r="B5" s="9" t="inlineStr">
        <is>
          <t>INCASSI OPERATIVI</t>
        </is>
      </c>
      <c r="C5" s="10">
        <f>SUM(C6:C8)</f>
        <v/>
      </c>
      <c r="D5" s="10">
        <f>SUM(D6:D8)</f>
        <v/>
      </c>
      <c r="E5" s="10">
        <f>SUM(E6:E8)</f>
        <v/>
      </c>
      <c r="F5" s="10">
        <f>SUM(F6:F8)</f>
        <v/>
      </c>
      <c r="G5" s="10">
        <f>SUM(G6:G8)</f>
        <v/>
      </c>
      <c r="I5" s="2">
        <f>IF(ROUND(G5-'CASH FLOW'!O5,2)=0,"ok","non torna")</f>
        <v/>
      </c>
    </row>
    <row r="6">
      <c r="A6" s="11" t="inlineStr">
        <is>
          <t>A1</t>
        </is>
      </c>
      <c r="B6" s="11" t="inlineStr">
        <is>
          <t xml:space="preserve">   Corrispettivi</t>
        </is>
      </c>
      <c r="C6" s="18" t="n"/>
      <c r="D6" s="18" t="n"/>
      <c r="E6" s="18" t="n"/>
      <c r="F6" s="18" t="n"/>
      <c r="G6" s="12">
        <f>SUM(C6:F6)</f>
        <v/>
      </c>
    </row>
    <row r="7">
      <c r="A7" s="11" t="inlineStr">
        <is>
          <t>A2</t>
        </is>
      </c>
      <c r="B7" s="11" t="inlineStr">
        <is>
          <t xml:space="preserve">   Eventi</t>
        </is>
      </c>
      <c r="C7" s="18" t="n"/>
      <c r="D7" s="18" t="n"/>
      <c r="E7" s="18" t="n"/>
      <c r="F7" s="18" t="n"/>
      <c r="G7" s="12">
        <f>SUM(C7:F7)</f>
        <v/>
      </c>
    </row>
    <row r="8">
      <c r="A8" s="11" t="inlineStr">
        <is>
          <t>A3</t>
        </is>
      </c>
      <c r="B8" s="11" t="inlineStr">
        <is>
          <t xml:space="preserve">   Altri proventi</t>
        </is>
      </c>
      <c r="C8" s="18" t="n"/>
      <c r="D8" s="18" t="n"/>
      <c r="E8" s="18" t="n"/>
      <c r="F8" s="18" t="n"/>
      <c r="G8" s="12">
        <f>SUM(C8:F8)</f>
        <v/>
      </c>
    </row>
    <row r="10">
      <c r="A10" s="9" t="inlineStr">
        <is>
          <t>B</t>
        </is>
      </c>
      <c r="B10" s="9" t="inlineStr">
        <is>
          <t>COSTO DEL VENDUTO</t>
        </is>
      </c>
      <c r="C10" s="10">
        <f>SUM(C11:C16)</f>
        <v/>
      </c>
      <c r="D10" s="10">
        <f>SUM(D11:D16)</f>
        <v/>
      </c>
      <c r="E10" s="10">
        <f>SUM(E11:E16)</f>
        <v/>
      </c>
      <c r="F10" s="10">
        <f>SUM(F11:F16)</f>
        <v/>
      </c>
      <c r="G10" s="10">
        <f>SUM(G11:G16)</f>
        <v/>
      </c>
      <c r="I10" s="2">
        <f>IF(ROUND(G10-'CASH FLOW'!O21,2)=0,"ok","non torna")</f>
        <v/>
      </c>
    </row>
    <row r="11">
      <c r="A11" s="11" t="inlineStr">
        <is>
          <t>B1</t>
        </is>
      </c>
      <c r="B11" s="11" t="inlineStr">
        <is>
          <t xml:space="preserve">   Beverage alcolico</t>
        </is>
      </c>
      <c r="C11" s="18" t="n"/>
      <c r="D11" s="18" t="n"/>
      <c r="E11" s="18" t="n"/>
      <c r="F11" s="18" t="n"/>
      <c r="G11" s="12">
        <f>SUM(C11:F11)</f>
        <v/>
      </c>
    </row>
    <row r="12">
      <c r="A12" s="11" t="inlineStr">
        <is>
          <t>B2</t>
        </is>
      </c>
      <c r="B12" s="11" t="inlineStr">
        <is>
          <t xml:space="preserve">   Beverage analcolico</t>
        </is>
      </c>
      <c r="C12" s="18" t="n"/>
      <c r="D12" s="18" t="n"/>
      <c r="E12" s="18" t="n"/>
      <c r="F12" s="18" t="n"/>
      <c r="G12" s="12">
        <f>SUM(C12:F12)</f>
        <v/>
      </c>
    </row>
    <row r="13">
      <c r="A13" s="11" t="inlineStr">
        <is>
          <t>B3</t>
        </is>
      </c>
      <c r="B13" s="11" t="inlineStr">
        <is>
          <t xml:space="preserve">   Caffetteria</t>
        </is>
      </c>
      <c r="C13" s="18" t="n"/>
      <c r="D13" s="18" t="n"/>
      <c r="E13" s="18" t="n"/>
      <c r="F13" s="18" t="n"/>
      <c r="G13" s="12">
        <f>SUM(C13:F13)</f>
        <v/>
      </c>
    </row>
    <row r="14">
      <c r="A14" s="11" t="inlineStr">
        <is>
          <t>B4</t>
        </is>
      </c>
      <c r="B14" s="11" t="inlineStr">
        <is>
          <t xml:space="preserve">   Food</t>
        </is>
      </c>
      <c r="C14" s="18" t="n"/>
      <c r="D14" s="18" t="n"/>
      <c r="E14" s="18" t="n"/>
      <c r="F14" s="18" t="n"/>
      <c r="G14" s="12">
        <f>SUM(C14:F14)</f>
        <v/>
      </c>
    </row>
    <row r="15">
      <c r="A15" s="11" t="inlineStr">
        <is>
          <t>B5</t>
        </is>
      </c>
      <c r="B15" s="11" t="inlineStr">
        <is>
          <t xml:space="preserve">   Consumabili di servizio</t>
        </is>
      </c>
      <c r="C15" s="18" t="n"/>
      <c r="D15" s="18" t="n"/>
      <c r="E15" s="18" t="n"/>
      <c r="F15" s="18" t="n"/>
      <c r="G15" s="12">
        <f>SUM(C15:F15)</f>
        <v/>
      </c>
    </row>
    <row r="16">
      <c r="A16" s="11" t="inlineStr">
        <is>
          <t>B6</t>
        </is>
      </c>
      <c r="B16" s="11" t="inlineStr">
        <is>
          <t xml:space="preserve">   Rettifiche su acquisti</t>
        </is>
      </c>
      <c r="C16" s="18" t="n"/>
      <c r="D16" s="18" t="n"/>
      <c r="E16" s="18" t="n"/>
      <c r="F16" s="18" t="n"/>
      <c r="G16" s="12">
        <f>SUM(C16:F16)</f>
        <v/>
      </c>
    </row>
    <row r="18">
      <c r="A18" s="9" t="inlineStr">
        <is>
          <t>C</t>
        </is>
      </c>
      <c r="B18" s="9" t="inlineStr">
        <is>
          <t>COSTO DEL PERSONALE</t>
        </is>
      </c>
      <c r="C18" s="10">
        <f>SUM(C19:C23)</f>
        <v/>
      </c>
      <c r="D18" s="10">
        <f>SUM(D19:D23)</f>
        <v/>
      </c>
      <c r="E18" s="10">
        <f>SUM(E19:E23)</f>
        <v/>
      </c>
      <c r="F18" s="10">
        <f>SUM(F19:F23)</f>
        <v/>
      </c>
      <c r="G18" s="10">
        <f>SUM(G19:G23)</f>
        <v/>
      </c>
      <c r="I18" s="2">
        <f>IF(ROUND(G18-'CASH FLOW'!O54,2)=0,"ok","non torna")</f>
        <v/>
      </c>
    </row>
    <row r="19">
      <c r="A19" s="11" t="inlineStr">
        <is>
          <t>C1</t>
        </is>
      </c>
      <c r="B19" s="11" t="inlineStr">
        <is>
          <t xml:space="preserve">   Retribuzioni</t>
        </is>
      </c>
      <c r="C19" s="18" t="n"/>
      <c r="D19" s="18" t="n"/>
      <c r="E19" s="18" t="n"/>
      <c r="F19" s="18" t="n"/>
      <c r="G19" s="12">
        <f>SUM(C19:F19)</f>
        <v/>
      </c>
    </row>
    <row r="20">
      <c r="A20" s="11" t="inlineStr">
        <is>
          <t>C2</t>
        </is>
      </c>
      <c r="B20" s="11" t="inlineStr">
        <is>
          <t xml:space="preserve">   Oneri sociali</t>
        </is>
      </c>
      <c r="C20" s="18" t="n"/>
      <c r="D20" s="18" t="n"/>
      <c r="E20" s="18" t="n"/>
      <c r="F20" s="18" t="n"/>
      <c r="G20" s="12">
        <f>SUM(C20:F20)</f>
        <v/>
      </c>
    </row>
    <row r="21">
      <c r="A21" s="11" t="inlineStr">
        <is>
          <t>C3</t>
        </is>
      </c>
      <c r="B21" s="11" t="inlineStr">
        <is>
          <t xml:space="preserve">   TFR corrisposto</t>
        </is>
      </c>
      <c r="C21" s="18" t="n"/>
      <c r="D21" s="18" t="n"/>
      <c r="E21" s="18" t="n"/>
      <c r="F21" s="18" t="n"/>
      <c r="G21" s="12">
        <f>SUM(C21:F21)</f>
        <v/>
      </c>
    </row>
    <row r="22">
      <c r="A22" s="11" t="inlineStr">
        <is>
          <t>C4</t>
        </is>
      </c>
      <c r="B22" s="11" t="inlineStr">
        <is>
          <t xml:space="preserve">   Altri costi del personale</t>
        </is>
      </c>
      <c r="C22" s="18" t="n"/>
      <c r="D22" s="18" t="n"/>
      <c r="E22" s="18" t="n"/>
      <c r="F22" s="18" t="n"/>
      <c r="G22" s="12">
        <f>SUM(C22:F22)</f>
        <v/>
      </c>
    </row>
    <row r="23">
      <c r="A23" s="11" t="inlineStr">
        <is>
          <t>C5</t>
        </is>
      </c>
      <c r="B23" s="11" t="inlineStr">
        <is>
          <t xml:space="preserve">   Organi sociali e collaborazioni</t>
        </is>
      </c>
      <c r="C23" s="18" t="n"/>
      <c r="D23" s="18" t="n"/>
      <c r="E23" s="18" t="n"/>
      <c r="F23" s="18" t="n"/>
      <c r="G23" s="12">
        <f>SUM(C23:F23)</f>
        <v/>
      </c>
    </row>
    <row r="25">
      <c r="A25" s="9" t="inlineStr">
        <is>
          <t>D</t>
        </is>
      </c>
      <c r="B25" s="9" t="inlineStr">
        <is>
          <t>COSTI DIRETTI EVENTI</t>
        </is>
      </c>
      <c r="C25" s="10">
        <f>SUM(C26:C29)</f>
        <v/>
      </c>
      <c r="D25" s="10">
        <f>SUM(D26:D29)</f>
        <v/>
      </c>
      <c r="E25" s="10">
        <f>SUM(E26:E29)</f>
        <v/>
      </c>
      <c r="F25" s="10">
        <f>SUM(F26:F29)</f>
        <v/>
      </c>
      <c r="G25" s="10">
        <f>SUM(G26:G29)</f>
        <v/>
      </c>
      <c r="I25" s="2">
        <f>IF(ROUND(G25-'CASH FLOW'!O83,2)=0,"ok","non torna")</f>
        <v/>
      </c>
    </row>
    <row r="26">
      <c r="A26" s="11" t="inlineStr">
        <is>
          <t>D1</t>
        </is>
      </c>
      <c r="B26" s="11" t="inlineStr">
        <is>
          <t xml:space="preserve">   Artisti e service</t>
        </is>
      </c>
      <c r="C26" s="18" t="n"/>
      <c r="D26" s="18" t="n"/>
      <c r="E26" s="18" t="n"/>
      <c r="F26" s="18" t="n"/>
      <c r="G26" s="12">
        <f>SUM(C26:F26)</f>
        <v/>
      </c>
    </row>
    <row r="27">
      <c r="A27" s="11" t="inlineStr">
        <is>
          <t>D2</t>
        </is>
      </c>
      <c r="B27" s="11" t="inlineStr">
        <is>
          <t xml:space="preserve">   Manodopera evento</t>
        </is>
      </c>
      <c r="C27" s="18" t="n"/>
      <c r="D27" s="18" t="n"/>
      <c r="E27" s="18" t="n"/>
      <c r="F27" s="18" t="n"/>
      <c r="G27" s="12">
        <f>SUM(C27:F27)</f>
        <v/>
      </c>
    </row>
    <row r="28">
      <c r="A28" s="11" t="inlineStr">
        <is>
          <t>D3</t>
        </is>
      </c>
      <c r="B28" s="11" t="inlineStr">
        <is>
          <t xml:space="preserve">   Promozione evento</t>
        </is>
      </c>
      <c r="C28" s="18" t="n"/>
      <c r="D28" s="18" t="n"/>
      <c r="E28" s="18" t="n"/>
      <c r="F28" s="18" t="n"/>
      <c r="G28" s="12">
        <f>SUM(C28:F28)</f>
        <v/>
      </c>
    </row>
    <row r="29">
      <c r="A29" s="11" t="inlineStr">
        <is>
          <t>D4</t>
        </is>
      </c>
      <c r="B29" s="11" t="inlineStr">
        <is>
          <t xml:space="preserve">   Oneri e allestimenti evento</t>
        </is>
      </c>
      <c r="C29" s="18" t="n"/>
      <c r="D29" s="18" t="n"/>
      <c r="E29" s="18" t="n"/>
      <c r="F29" s="18" t="n"/>
      <c r="G29" s="12">
        <f>SUM(C29:F29)</f>
        <v/>
      </c>
    </row>
    <row r="31">
      <c r="A31" s="9" t="inlineStr">
        <is>
          <t>E</t>
        </is>
      </c>
      <c r="B31" s="9" t="inlineStr">
        <is>
          <t>COSTI DI STRUTTURA</t>
        </is>
      </c>
      <c r="C31" s="10">
        <f>SUM(C32:C39)</f>
        <v/>
      </c>
      <c r="D31" s="10">
        <f>SUM(D32:D39)</f>
        <v/>
      </c>
      <c r="E31" s="10">
        <f>SUM(E32:E39)</f>
        <v/>
      </c>
      <c r="F31" s="10">
        <f>SUM(F32:F39)</f>
        <v/>
      </c>
      <c r="G31" s="10">
        <f>SUM(G32:G39)</f>
        <v/>
      </c>
      <c r="I31" s="2">
        <f>IF(ROUND(G31-'CASH FLOW'!O100,2)=0,"ok","non torna")</f>
        <v/>
      </c>
    </row>
    <row r="32">
      <c r="A32" s="11" t="inlineStr">
        <is>
          <t>E1</t>
        </is>
      </c>
      <c r="B32" s="11" t="inlineStr">
        <is>
          <t xml:space="preserve">   Immobili e spazi</t>
        </is>
      </c>
      <c r="C32" s="18" t="n"/>
      <c r="D32" s="18" t="n"/>
      <c r="E32" s="18" t="n"/>
      <c r="F32" s="18" t="n"/>
      <c r="G32" s="12">
        <f>SUM(C32:F32)</f>
        <v/>
      </c>
    </row>
    <row r="33">
      <c r="A33" s="11" t="inlineStr">
        <is>
          <t>E2</t>
        </is>
      </c>
      <c r="B33" s="11" t="inlineStr">
        <is>
          <t xml:space="preserve">   Utenze</t>
        </is>
      </c>
      <c r="C33" s="18" t="n"/>
      <c r="D33" s="18" t="n"/>
      <c r="E33" s="18" t="n"/>
      <c r="F33" s="18" t="n"/>
      <c r="G33" s="12">
        <f>SUM(C33:F33)</f>
        <v/>
      </c>
    </row>
    <row r="34">
      <c r="A34" s="11" t="inlineStr">
        <is>
          <t>E3</t>
        </is>
      </c>
      <c r="B34" s="11" t="inlineStr">
        <is>
          <t xml:space="preserve">   Noleggi, leasing e licenze</t>
        </is>
      </c>
      <c r="C34" s="18" t="n"/>
      <c r="D34" s="18" t="n"/>
      <c r="E34" s="18" t="n"/>
      <c r="F34" s="18" t="n"/>
      <c r="G34" s="12">
        <f>SUM(C34:F34)</f>
        <v/>
      </c>
    </row>
    <row r="35">
      <c r="A35" s="11" t="inlineStr">
        <is>
          <t>E4</t>
        </is>
      </c>
      <c r="B35" s="11" t="inlineStr">
        <is>
          <t xml:space="preserve">   Manutenzioni e servizi operativi</t>
        </is>
      </c>
      <c r="C35" s="18" t="n"/>
      <c r="D35" s="18" t="n"/>
      <c r="E35" s="18" t="n"/>
      <c r="F35" s="18" t="n"/>
      <c r="G35" s="12">
        <f>SUM(C35:F35)</f>
        <v/>
      </c>
    </row>
    <row r="36">
      <c r="A36" s="11" t="inlineStr">
        <is>
          <t>E5</t>
        </is>
      </c>
      <c r="B36" s="11" t="inlineStr">
        <is>
          <t xml:space="preserve">   Attrezzatura e allestimenti</t>
        </is>
      </c>
      <c r="C36" s="18" t="n"/>
      <c r="D36" s="18" t="n"/>
      <c r="E36" s="18" t="n"/>
      <c r="F36" s="18" t="n"/>
      <c r="G36" s="12">
        <f>SUM(C36:F36)</f>
        <v/>
      </c>
    </row>
    <row r="37">
      <c r="A37" s="11" t="inlineStr">
        <is>
          <t>E6</t>
        </is>
      </c>
      <c r="B37" s="11" t="inlineStr">
        <is>
          <t xml:space="preserve">   Servizi professionali e amministrativi</t>
        </is>
      </c>
      <c r="C37" s="18" t="n"/>
      <c r="D37" s="18" t="n"/>
      <c r="E37" s="18" t="n"/>
      <c r="F37" s="18" t="n"/>
      <c r="G37" s="12">
        <f>SUM(C37:F37)</f>
        <v/>
      </c>
    </row>
    <row r="38">
      <c r="A38" s="11" t="inlineStr">
        <is>
          <t>E7</t>
        </is>
      </c>
      <c r="B38" s="11" t="inlineStr">
        <is>
          <t xml:space="preserve">   Marketing e comunicazione</t>
        </is>
      </c>
      <c r="C38" s="18" t="n"/>
      <c r="D38" s="18" t="n"/>
      <c r="E38" s="18" t="n"/>
      <c r="F38" s="18" t="n"/>
      <c r="G38" s="12">
        <f>SUM(C38:F38)</f>
        <v/>
      </c>
    </row>
    <row r="39">
      <c r="A39" s="11" t="inlineStr">
        <is>
          <t>E8</t>
        </is>
      </c>
      <c r="B39" s="11" t="inlineStr">
        <is>
          <t xml:space="preserve">   Tributi, assicurazioni e oneri diversi</t>
        </is>
      </c>
      <c r="C39" s="18" t="n"/>
      <c r="D39" s="18" t="n"/>
      <c r="E39" s="18" t="n"/>
      <c r="F39" s="18" t="n"/>
      <c r="G39" s="12">
        <f>SUM(C39:F39)</f>
        <v/>
      </c>
    </row>
    <row r="41">
      <c r="A41" s="9" t="inlineStr">
        <is>
          <t>F</t>
        </is>
      </c>
      <c r="B41" s="9" t="inlineStr">
        <is>
          <t>ONERI FINANZIARI</t>
        </is>
      </c>
      <c r="C41" s="10">
        <f>SUM(C42:C44)</f>
        <v/>
      </c>
      <c r="D41" s="10">
        <f>SUM(D42:D44)</f>
        <v/>
      </c>
      <c r="E41" s="10">
        <f>SUM(E42:E44)</f>
        <v/>
      </c>
      <c r="F41" s="10">
        <f>SUM(F42:F44)</f>
        <v/>
      </c>
      <c r="G41" s="10">
        <f>SUM(G42:G44)</f>
        <v/>
      </c>
      <c r="I41" s="2">
        <f>IF(ROUND(G41-'CASH FLOW'!O166,2)=0,"ok","non torna")</f>
        <v/>
      </c>
    </row>
    <row r="42">
      <c r="A42" s="11" t="inlineStr">
        <is>
          <t>F1</t>
        </is>
      </c>
      <c r="B42" s="11" t="inlineStr">
        <is>
          <t xml:space="preserve">   Interessi passivi</t>
        </is>
      </c>
      <c r="C42" s="18" t="n"/>
      <c r="D42" s="18" t="n"/>
      <c r="E42" s="18" t="n"/>
      <c r="F42" s="18" t="n"/>
      <c r="G42" s="12">
        <f>SUM(C42:F42)</f>
        <v/>
      </c>
    </row>
    <row r="43">
      <c r="A43" s="11" t="inlineStr">
        <is>
          <t>F2</t>
        </is>
      </c>
      <c r="B43" s="11" t="inlineStr">
        <is>
          <t xml:space="preserve">   Spese e servizi bancari</t>
        </is>
      </c>
      <c r="C43" s="18" t="n"/>
      <c r="D43" s="18" t="n"/>
      <c r="E43" s="18" t="n"/>
      <c r="F43" s="18" t="n"/>
      <c r="G43" s="12">
        <f>SUM(C43:F43)</f>
        <v/>
      </c>
    </row>
    <row r="44">
      <c r="A44" s="11" t="inlineStr">
        <is>
          <t>F3</t>
        </is>
      </c>
      <c r="B44" s="11" t="inlineStr">
        <is>
          <t xml:space="preserve">   Commissioni su incassi</t>
        </is>
      </c>
      <c r="C44" s="18" t="n"/>
      <c r="D44" s="18" t="n"/>
      <c r="E44" s="18" t="n"/>
      <c r="F44" s="18" t="n"/>
      <c r="G44" s="12">
        <f>SUM(C44:F44)</f>
        <v/>
      </c>
    </row>
    <row r="46">
      <c r="A46" s="9" t="inlineStr">
        <is>
          <t>G</t>
        </is>
      </c>
      <c r="B46" s="9" t="inlineStr">
        <is>
          <t>FISCO E IVA</t>
        </is>
      </c>
      <c r="C46" s="10">
        <f>SUM(C47:C51)</f>
        <v/>
      </c>
      <c r="D46" s="10">
        <f>SUM(D47:D51)</f>
        <v/>
      </c>
      <c r="E46" s="10">
        <f>SUM(E47:E51)</f>
        <v/>
      </c>
      <c r="F46" s="10">
        <f>SUM(F47:F51)</f>
        <v/>
      </c>
      <c r="G46" s="10">
        <f>SUM(G47:G51)</f>
        <v/>
      </c>
      <c r="I46" s="2">
        <f>IF(ROUND(G46-'CASH FLOW'!O185,2)=0,"ok","non torna")</f>
        <v/>
      </c>
    </row>
    <row r="47">
      <c r="A47" s="11" t="inlineStr">
        <is>
          <t>G1</t>
        </is>
      </c>
      <c r="B47" s="11" t="inlineStr">
        <is>
          <t xml:space="preserve">   IVA incassata sui corrispettivi</t>
        </is>
      </c>
      <c r="C47" s="18" t="n"/>
      <c r="D47" s="18" t="n"/>
      <c r="E47" s="18" t="n"/>
      <c r="F47" s="18" t="n"/>
      <c r="G47" s="12">
        <f>SUM(C47:F47)</f>
        <v/>
      </c>
    </row>
    <row r="48">
      <c r="A48" s="11" t="inlineStr">
        <is>
          <t>G2</t>
        </is>
      </c>
      <c r="B48" s="11" t="inlineStr">
        <is>
          <t xml:space="preserve">   IVA pagata sugli acquisti</t>
        </is>
      </c>
      <c r="C48" s="18" t="n"/>
      <c r="D48" s="18" t="n"/>
      <c r="E48" s="18" t="n"/>
      <c r="F48" s="18" t="n"/>
      <c r="G48" s="12">
        <f>SUM(C48:F48)</f>
        <v/>
      </c>
    </row>
    <row r="49">
      <c r="A49" s="11" t="inlineStr">
        <is>
          <t>G3</t>
        </is>
      </c>
      <c r="B49" s="11" t="inlineStr">
        <is>
          <t xml:space="preserve">   F24 IVA</t>
        </is>
      </c>
      <c r="C49" s="18" t="n"/>
      <c r="D49" s="18" t="n"/>
      <c r="E49" s="18" t="n"/>
      <c r="F49" s="18" t="n"/>
      <c r="G49" s="12">
        <f>SUM(C49:F49)</f>
        <v/>
      </c>
    </row>
    <row r="50">
      <c r="A50" s="11" t="inlineStr">
        <is>
          <t>G4</t>
        </is>
      </c>
      <c r="B50" s="11" t="inlineStr">
        <is>
          <t xml:space="preserve">   Imposte sul reddito</t>
        </is>
      </c>
      <c r="C50" s="18" t="n"/>
      <c r="D50" s="18" t="n"/>
      <c r="E50" s="18" t="n"/>
      <c r="F50" s="18" t="n"/>
      <c r="G50" s="12">
        <f>SUM(C50:F50)</f>
        <v/>
      </c>
    </row>
    <row r="51">
      <c r="A51" s="11" t="inlineStr">
        <is>
          <t>G5</t>
        </is>
      </c>
      <c r="B51" s="11" t="inlineStr">
        <is>
          <t xml:space="preserve">   Ritenute e contributi</t>
        </is>
      </c>
      <c r="C51" s="18" t="n"/>
      <c r="D51" s="18" t="n"/>
      <c r="E51" s="18" t="n"/>
      <c r="F51" s="18" t="n"/>
      <c r="G51" s="12">
        <f>SUM(C51:F51)</f>
        <v/>
      </c>
    </row>
    <row r="53">
      <c r="A53" s="9" t="inlineStr">
        <is>
          <t>H</t>
        </is>
      </c>
      <c r="B53" s="9" t="inlineStr">
        <is>
          <t>INVESTIMENTI</t>
        </is>
      </c>
      <c r="C53" s="10">
        <f>SUM(C54:C55)</f>
        <v/>
      </c>
      <c r="D53" s="10">
        <f>SUM(D54:D55)</f>
        <v/>
      </c>
      <c r="E53" s="10">
        <f>SUM(E54:E55)</f>
        <v/>
      </c>
      <c r="F53" s="10">
        <f>SUM(F54:F55)</f>
        <v/>
      </c>
      <c r="G53" s="10">
        <f>SUM(G54:G55)</f>
        <v/>
      </c>
      <c r="I53" s="2">
        <f>IF(ROUND(G53-'CASH FLOW'!O196,2)=0,"ok","non torna")</f>
        <v/>
      </c>
    </row>
    <row r="54">
      <c r="A54" s="11" t="inlineStr">
        <is>
          <t>H1</t>
        </is>
      </c>
      <c r="B54" s="11" t="inlineStr">
        <is>
          <t xml:space="preserve">   Acquisto immobilizzazioni</t>
        </is>
      </c>
      <c r="C54" s="18" t="n"/>
      <c r="D54" s="18" t="n"/>
      <c r="E54" s="18" t="n"/>
      <c r="F54" s="18" t="n"/>
      <c r="G54" s="12">
        <f>SUM(C54:F54)</f>
        <v/>
      </c>
    </row>
    <row r="55">
      <c r="A55" s="11" t="inlineStr">
        <is>
          <t>H2</t>
        </is>
      </c>
      <c r="B55" s="11" t="inlineStr">
        <is>
          <t xml:space="preserve">   Cessione cespiti</t>
        </is>
      </c>
      <c r="C55" s="18" t="n"/>
      <c r="D55" s="18" t="n"/>
      <c r="E55" s="18" t="n"/>
      <c r="F55" s="18" t="n"/>
      <c r="G55" s="12">
        <f>SUM(C55:F55)</f>
        <v/>
      </c>
    </row>
    <row r="57">
      <c r="A57" s="9" t="inlineStr">
        <is>
          <t>I</t>
        </is>
      </c>
      <c r="B57" s="9" t="inlineStr">
        <is>
          <t>FINANZIAMENTI</t>
        </is>
      </c>
      <c r="C57" s="10">
        <f>SUM(C58:C60)</f>
        <v/>
      </c>
      <c r="D57" s="10">
        <f>SUM(D58:D60)</f>
        <v/>
      </c>
      <c r="E57" s="10">
        <f>SUM(E58:E60)</f>
        <v/>
      </c>
      <c r="F57" s="10">
        <f>SUM(F58:F60)</f>
        <v/>
      </c>
      <c r="G57" s="10">
        <f>SUM(G58:G60)</f>
        <v/>
      </c>
      <c r="I57" s="2">
        <f>IF(ROUND(G57-'CASH FLOW'!O204,2)=0,"ok","non torna")</f>
        <v/>
      </c>
    </row>
    <row r="58">
      <c r="A58" s="11" t="inlineStr">
        <is>
          <t>I1</t>
        </is>
      </c>
      <c r="B58" s="11" t="inlineStr">
        <is>
          <t xml:space="preserve">   Rimborso capitale</t>
        </is>
      </c>
      <c r="C58" s="18" t="n"/>
      <c r="D58" s="18" t="n"/>
      <c r="E58" s="18" t="n"/>
      <c r="F58" s="18" t="n"/>
      <c r="G58" s="12">
        <f>SUM(C58:F58)</f>
        <v/>
      </c>
    </row>
    <row r="59">
      <c r="A59" s="11" t="inlineStr">
        <is>
          <t>I2</t>
        </is>
      </c>
      <c r="B59" s="11" t="inlineStr">
        <is>
          <t xml:space="preserve">   Nuova finanza</t>
        </is>
      </c>
      <c r="C59" s="18" t="n"/>
      <c r="D59" s="18" t="n"/>
      <c r="E59" s="18" t="n"/>
      <c r="F59" s="18" t="n"/>
      <c r="G59" s="12">
        <f>SUM(C59:F59)</f>
        <v/>
      </c>
    </row>
    <row r="60">
      <c r="A60" s="11" t="inlineStr">
        <is>
          <t>I3</t>
        </is>
      </c>
      <c r="B60" s="11" t="inlineStr">
        <is>
          <t xml:space="preserve">   Soci</t>
        </is>
      </c>
      <c r="C60" s="18" t="n"/>
      <c r="D60" s="18" t="n"/>
      <c r="E60" s="18" t="n"/>
      <c r="F60" s="18" t="n"/>
      <c r="G60" s="12">
        <f>SUM(C60:F60)</f>
        <v/>
      </c>
    </row>
    <row r="64">
      <c r="B64" s="19" t="inlineStr">
        <is>
          <t>RIBALTAMENTO DEI COSTI COMUNI (STR)</t>
        </is>
      </c>
    </row>
    <row r="65">
      <c r="B65" s="2" t="inlineStr">
        <is>
          <t xml:space="preserve">   Chiavi percentuali modificabili. Ogni riga deve sommare al 100%.</t>
        </is>
      </c>
    </row>
    <row r="66">
      <c r="A66" s="11" t="inlineStr">
        <is>
          <t>Chiave</t>
        </is>
      </c>
      <c r="B66" s="11" t="inlineStr">
        <is>
          <t>Base di riparto</t>
        </is>
      </c>
      <c r="C66" s="11" t="inlineStr">
        <is>
          <t>WEISS %</t>
        </is>
      </c>
      <c r="D66" s="11" t="inlineStr">
        <is>
          <t>VV %</t>
        </is>
      </c>
      <c r="E66" s="11" t="inlineStr">
        <is>
          <t>CAS %</t>
        </is>
      </c>
      <c r="F66" s="11" t="inlineStr">
        <is>
          <t>Totale</t>
        </is>
      </c>
    </row>
    <row r="67">
      <c r="A67" s="13" t="inlineStr">
        <is>
          <t>Generale</t>
        </is>
      </c>
      <c r="B67" s="13" t="inlineStr">
        <is>
          <t>quota decisa a tavolino, default</t>
        </is>
      </c>
      <c r="C67" s="24" t="n">
        <v>0.6</v>
      </c>
      <c r="D67" s="24" t="n">
        <v>0.3</v>
      </c>
      <c r="E67" s="24" t="n">
        <v>0.1</v>
      </c>
      <c r="F67" s="25">
        <f>SUM(C67:E67)</f>
        <v/>
      </c>
    </row>
    <row r="68">
      <c r="A68" s="13" t="inlineStr">
        <is>
          <t>Per ricavi</t>
        </is>
      </c>
      <c r="B68" s="13" t="inlineStr">
        <is>
          <t>peso dei corrispettivi di ciascun centro</t>
        </is>
      </c>
      <c r="C68" s="24" t="n"/>
      <c r="D68" s="24" t="n"/>
      <c r="E68" s="24" t="n"/>
      <c r="F68" s="25">
        <f>SUM(C68:E68)</f>
        <v/>
      </c>
    </row>
    <row r="69">
      <c r="A69" s="13" t="inlineStr">
        <is>
          <t>Per personale</t>
        </is>
      </c>
      <c r="B69" s="13" t="inlineStr">
        <is>
          <t>peso del costo del personale operativo</t>
        </is>
      </c>
      <c r="C69" s="24" t="n"/>
      <c r="D69" s="24" t="n"/>
      <c r="E69" s="24" t="n"/>
      <c r="F69" s="25">
        <f>SUM(C69:E69)</f>
        <v/>
      </c>
    </row>
    <row r="70">
      <c r="A70" s="13" t="inlineStr">
        <is>
          <t>Per superficie</t>
        </is>
      </c>
      <c r="B70" s="13" t="inlineStr">
        <is>
          <t>metri quadri occupati, utile sugli immobili</t>
        </is>
      </c>
      <c r="C70" s="24" t="n"/>
      <c r="D70" s="24" t="n"/>
      <c r="E70" s="24" t="n"/>
      <c r="F70" s="25">
        <f>SUM(C70:E70)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6" customWidth="1" min="3" max="3"/>
    <col width="62" customWidth="1" min="4" max="4"/>
  </cols>
  <sheetData>
    <row r="1">
      <c r="A1" s="1" t="inlineStr">
        <is>
          <t>SINTESI — indicatori dell'anno</t>
        </is>
      </c>
    </row>
    <row r="2">
      <c r="A2" s="2" t="inlineStr">
        <is>
          <t>Tutti gli indicatori leggono la colonna TOTALE del foglio CASH FLOW.</t>
        </is>
      </c>
    </row>
    <row r="4">
      <c r="B4" s="26" t="inlineStr">
        <is>
          <t>VOLUMI</t>
        </is>
      </c>
      <c r="C4" s="27" t="n"/>
    </row>
    <row r="5">
      <c r="B5" s="13" t="inlineStr">
        <is>
          <t>Incassi operativi</t>
        </is>
      </c>
      <c r="C5" s="12">
        <f>'CASH FLOW'!O5</f>
        <v/>
      </c>
      <c r="D5" s="2" t="inlineStr">
        <is>
          <t>Corrispettivi, eventi e altri proventi, al netto IVA</t>
        </is>
      </c>
    </row>
    <row r="6">
      <c r="B6" s="13" t="inlineStr">
        <is>
          <t>Giorni di apertura</t>
        </is>
      </c>
      <c r="C6" s="28" t="n"/>
      <c r="D6" s="2" t="inlineStr">
        <is>
          <t>Da compilare: serve alla media giornaliera</t>
        </is>
      </c>
    </row>
    <row r="7">
      <c r="B7" s="13" t="inlineStr">
        <is>
          <t>Incasso medio giornaliero</t>
        </is>
      </c>
      <c r="C7" s="12">
        <f>IF(C6=0,"",C5/C6)</f>
        <v/>
      </c>
      <c r="D7" s="2" t="inlineStr">
        <is>
          <t>Incassi operativi diviso giorni di apertura</t>
        </is>
      </c>
    </row>
    <row r="9">
      <c r="B9" s="26" t="inlineStr">
        <is>
          <t>MARGINI</t>
        </is>
      </c>
      <c r="C9" s="27" t="n"/>
    </row>
    <row r="10">
      <c r="B10" s="13" t="inlineStr">
        <is>
          <t>Margine di contribuzione</t>
        </is>
      </c>
      <c r="C10" s="12">
        <f>'CASH FLOW'!O52</f>
        <v/>
      </c>
      <c r="D10" s="2" t="inlineStr">
        <is>
          <t>Incassi meno costo del venduto</t>
        </is>
      </c>
    </row>
    <row r="11">
      <c r="B11" s="13" t="inlineStr">
        <is>
          <t>Margine di contribuzione %</t>
        </is>
      </c>
      <c r="C11" s="25">
        <f>IF('CASH FLOW'!O5=0,"",'CASH FLOW'!O52/'CASH FLOW'!O5)</f>
        <v/>
      </c>
    </row>
    <row r="12">
      <c r="B12" s="13" t="inlineStr">
        <is>
          <t>Incidenza costo del venduto</t>
        </is>
      </c>
      <c r="C12" s="25">
        <f>IF('CASH FLOW'!O5=0,"",-'CASH FLOW'!O21/'CASH FLOW'!O5)</f>
        <v/>
      </c>
      <c r="D12" s="2" t="inlineStr">
        <is>
          <t>Beverage, caffetteria, food e consumabili sugli incassi</t>
        </is>
      </c>
    </row>
    <row r="13">
      <c r="B13" s="13" t="inlineStr">
        <is>
          <t>Incidenza manodopera completa</t>
        </is>
      </c>
      <c r="C13" s="25">
        <f>IF('CASH FLOW'!O5=0,"",-'CASH FLOW'!O219/'CASH FLOW'!O5)</f>
        <v/>
      </c>
      <c r="D13" s="2" t="inlineStr">
        <is>
          <t>Dalla riga memo: comprende personale eventi, ritenute e contributi</t>
        </is>
      </c>
    </row>
    <row r="14">
      <c r="B14" s="13" t="inlineStr">
        <is>
          <t>Incidenza commissioni su incassi</t>
        </is>
      </c>
      <c r="C14" s="25">
        <f>IF('CASH FLOW'!O6=0,"",-'CASH FLOW'!O177/'CASH FLOW'!O6)</f>
        <v/>
      </c>
      <c r="D14" s="2" t="inlineStr">
        <is>
          <t>Pagobancomat, carte, SumUp, Axerve sui corrispettivi</t>
        </is>
      </c>
    </row>
    <row r="16">
      <c r="B16" s="26" t="inlineStr">
        <is>
          <t>CASH FLOW</t>
        </is>
      </c>
      <c r="C16" s="27" t="n"/>
    </row>
    <row r="17">
      <c r="B17" s="13" t="inlineStr">
        <is>
          <t>Cash flow operativo</t>
        </is>
      </c>
      <c r="C17" s="12">
        <f>'CASH FLOW'!O183</f>
        <v/>
      </c>
      <c r="D17" s="2" t="inlineStr">
        <is>
          <t>Prima di fisco, investimenti e finanziamenti</t>
        </is>
      </c>
    </row>
    <row r="18">
      <c r="B18" s="13" t="inlineStr">
        <is>
          <t>Cash flow operativo %</t>
        </is>
      </c>
      <c r="C18" s="25">
        <f>IF('CASH FLOW'!O5=0,"",'CASH FLOW'!O183/'CASH FLOW'!O5)</f>
        <v/>
      </c>
    </row>
    <row r="19">
      <c r="B19" s="13" t="inlineStr">
        <is>
          <t>Variazione di cassa</t>
        </is>
      </c>
      <c r="C19" s="12">
        <f>'CASH FLOW'!O213</f>
        <v/>
      </c>
    </row>
    <row r="20">
      <c r="B20" s="13" t="inlineStr">
        <is>
          <t>Cassa e banca a inizio anno</t>
        </is>
      </c>
      <c r="C20" s="12">
        <f>'CASH FLOW'!C214</f>
        <v/>
      </c>
    </row>
    <row r="21">
      <c r="B21" s="13" t="inlineStr">
        <is>
          <t>Cassa e banca a fine anno</t>
        </is>
      </c>
      <c r="C21" s="12">
        <f>'CASH FLOW'!N215</f>
        <v/>
      </c>
    </row>
    <row r="23">
      <c r="B23" s="26" t="inlineStr">
        <is>
          <t>EVENTI</t>
        </is>
      </c>
      <c r="C23" s="27" t="n"/>
    </row>
    <row r="24">
      <c r="B24" s="13" t="inlineStr">
        <is>
          <t>Ricavi eventi</t>
        </is>
      </c>
      <c r="C24" s="12">
        <f>'CASH FLOW'!O9</f>
        <v/>
      </c>
    </row>
    <row r="25">
      <c r="B25" s="13" t="inlineStr">
        <is>
          <t>Margine eventi</t>
        </is>
      </c>
      <c r="C25" s="12">
        <f>'CASH FLOW'!O220</f>
        <v/>
      </c>
      <c r="D25" s="2" t="inlineStr">
        <is>
          <t>Ricavi eventi meno costi diretti eventi</t>
        </is>
      </c>
    </row>
    <row r="26">
      <c r="B26" s="13" t="inlineStr">
        <is>
          <t>Peso eventi sugli incassi</t>
        </is>
      </c>
      <c r="C26" s="25">
        <f>IF('CASH FLOW'!O5=0,"",'CASH FLOW'!O9/'CASH FLOW'!O5)</f>
        <v/>
      </c>
    </row>
    <row r="28">
      <c r="B28" s="26" t="inlineStr">
        <is>
          <t>TENUTA</t>
        </is>
      </c>
      <c r="C28" s="27" t="n"/>
    </row>
    <row r="29">
      <c r="B29" s="13" t="inlineStr">
        <is>
          <t>Costi di struttura mensili medi</t>
        </is>
      </c>
      <c r="C29" s="12">
        <f>-'CASH FLOW'!O100/12</f>
        <v/>
      </c>
      <c r="D29" s="2" t="inlineStr">
        <is>
          <t>Media dei dodici mesi</t>
        </is>
      </c>
    </row>
    <row r="30">
      <c r="B30" s="13" t="inlineStr">
        <is>
          <t>Mesi di struttura coperti dalla cassa</t>
        </is>
      </c>
      <c r="C30" s="29">
        <f>IF(C29=0,"",C21/C29)</f>
        <v/>
      </c>
      <c r="D30" s="2" t="inlineStr">
        <is>
          <t>Cassa finale diviso costi di struttura mensili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2026-08-11T17:59:20Z</dcterms:created>
  <dcterms:modified xmlns:dcterms="http://purl.org/dc/terms/" xmlns:xsi="http://www.w3.org/2001/XMLSchema-instance" xsi:type="dcterms:W3CDTF">2026-08-11T17:59:20Z</dcterms:modified>
</cp:coreProperties>
</file>